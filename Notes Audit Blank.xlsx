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nhs-my.sharepoint.com/personal/bdougall_nhs_net/Documents/Staff/Staff supervision/"/>
    </mc:Choice>
  </mc:AlternateContent>
  <xr:revisionPtr revIDLastSave="35" documentId="13_ncr:1_{E343EC00-EB9F-4276-B91C-A26743652D2A}" xr6:coauthVersionLast="47" xr6:coauthVersionMax="47" xr10:uidLastSave="{AA8277E2-A67B-4BD1-B103-1F671EDC3351}"/>
  <bookViews>
    <workbookView xWindow="-98" yWindow="-98" windowWidth="23236" windowHeight="13875" tabRatio="629" firstSheet="1" activeTab="1" xr2:uid="{00000000-000D-0000-FFFF-FFFF00000000}"/>
  </bookViews>
  <sheets>
    <sheet name="How to use the Tool" sheetId="13" r:id="rId1"/>
    <sheet name="Record Audit" sheetId="10" r:id="rId2"/>
    <sheet name="Record Report" sheetId="15" r:id="rId3"/>
    <sheet name="Criteria Guidance" sheetId="12" r:id="rId4"/>
    <sheet name="Final Assessment" sheetId="16" r:id="rId5"/>
  </sheets>
  <definedNames>
    <definedName name="COI">'Final Assessment'!$A$12:$A$13</definedName>
    <definedName name="Consultations">'How to use the Tool'!$A$2:$A$4</definedName>
    <definedName name="_xlnm.Print_Area" localSheetId="1">'Record Audit'!$A$1:$AK$22</definedName>
    <definedName name="Rating">'How to use the Tool'!$A$1:$A$4</definedName>
    <definedName name="Safety">'Final Assessment'!$A$1:$A$2</definedName>
    <definedName name="Setting">'Final Assessment'!$A$5:$A$8</definedName>
    <definedName name="Type">'Final Assessment'!$C$10:$C$14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2" i="10" l="1"/>
  <c r="F22" i="10"/>
  <c r="I181" i="15"/>
  <c r="I164" i="15"/>
  <c r="I147" i="15"/>
  <c r="I130" i="15"/>
  <c r="I113" i="15"/>
  <c r="I96" i="15"/>
  <c r="I79" i="15"/>
  <c r="I62" i="15"/>
  <c r="C45" i="15"/>
  <c r="I45" i="15"/>
  <c r="I28" i="15"/>
  <c r="C28" i="15"/>
  <c r="C181" i="15"/>
  <c r="C164" i="15"/>
  <c r="C147" i="15"/>
  <c r="C130" i="15"/>
  <c r="C113" i="15"/>
  <c r="C96" i="15"/>
  <c r="C79" i="15"/>
  <c r="C62" i="15"/>
  <c r="L26" i="10"/>
  <c r="C193" i="15" s="1"/>
  <c r="L25" i="10"/>
  <c r="C192" i="15" s="1"/>
  <c r="L24" i="10"/>
  <c r="C191" i="15" s="1"/>
  <c r="K26" i="10"/>
  <c r="C176" i="15" s="1"/>
  <c r="K25" i="10"/>
  <c r="C175" i="15" s="1"/>
  <c r="K24" i="10"/>
  <c r="C174" i="15" s="1"/>
  <c r="J26" i="10"/>
  <c r="C159" i="15" s="1"/>
  <c r="J25" i="10"/>
  <c r="C158" i="15"/>
  <c r="J24" i="10"/>
  <c r="C157" i="15"/>
  <c r="I26" i="10"/>
  <c r="C142" i="15" s="1"/>
  <c r="I25" i="10"/>
  <c r="C141" i="15" s="1"/>
  <c r="I24" i="10"/>
  <c r="C140" i="15" s="1"/>
  <c r="H26" i="10"/>
  <c r="C125" i="15" s="1"/>
  <c r="H25" i="10"/>
  <c r="C124" i="15" s="1"/>
  <c r="H24" i="10"/>
  <c r="C123" i="15" s="1"/>
  <c r="G26" i="10"/>
  <c r="C108" i="15"/>
  <c r="G25" i="10"/>
  <c r="C107" i="15" s="1"/>
  <c r="G24" i="10"/>
  <c r="C106" i="15"/>
  <c r="F26" i="10"/>
  <c r="C91" i="15" s="1"/>
  <c r="F25" i="10"/>
  <c r="C90" i="15"/>
  <c r="F24" i="10"/>
  <c r="C89" i="15"/>
  <c r="E26" i="10"/>
  <c r="C74" i="15" s="1"/>
  <c r="E25" i="10"/>
  <c r="C73" i="15" s="1"/>
  <c r="E24" i="10"/>
  <c r="C72" i="15"/>
  <c r="D26" i="10"/>
  <c r="C57" i="15" s="1"/>
  <c r="D25" i="10"/>
  <c r="C56" i="15"/>
  <c r="D24" i="10"/>
  <c r="C55" i="15"/>
  <c r="C26" i="10"/>
  <c r="C40" i="15" s="1"/>
  <c r="C25" i="10"/>
  <c r="C39" i="15" s="1"/>
  <c r="C24" i="10"/>
  <c r="D3" i="15"/>
  <c r="G199" i="15"/>
  <c r="H199" i="15" s="1"/>
  <c r="G200" i="15"/>
  <c r="H200" i="15" s="1"/>
  <c r="G201" i="15"/>
  <c r="H201" i="15" s="1"/>
  <c r="AI7" i="10"/>
  <c r="AJ7" i="10"/>
  <c r="AO7" i="10"/>
  <c r="AI8" i="10"/>
  <c r="AJ8" i="10"/>
  <c r="AI9" i="10"/>
  <c r="AJ9" i="10"/>
  <c r="AK9" i="10" s="1"/>
  <c r="AO9" i="10"/>
  <c r="AI10" i="10"/>
  <c r="AJ10" i="10"/>
  <c r="AO10" i="10"/>
  <c r="AI11" i="10"/>
  <c r="AJ11" i="10"/>
  <c r="AI12" i="10"/>
  <c r="AK12" i="10" s="1"/>
  <c r="AJ12" i="10"/>
  <c r="AI14" i="10"/>
  <c r="AJ14" i="10"/>
  <c r="AO14" i="10"/>
  <c r="AI15" i="10"/>
  <c r="AJ15" i="10"/>
  <c r="AO15" i="10"/>
  <c r="AI16" i="10"/>
  <c r="AK16" i="10" s="1"/>
  <c r="AJ16" i="10"/>
  <c r="AO16" i="10"/>
  <c r="AO17" i="10"/>
  <c r="AI18" i="10"/>
  <c r="AJ18" i="10"/>
  <c r="AO18" i="10"/>
  <c r="AI19" i="10"/>
  <c r="AJ19" i="10"/>
  <c r="AK19" i="10" s="1"/>
  <c r="AI21" i="10"/>
  <c r="AJ21" i="10"/>
  <c r="AK21" i="10" s="1"/>
  <c r="C22" i="10"/>
  <c r="D22" i="10"/>
  <c r="D27" i="10" s="1"/>
  <c r="E22" i="10"/>
  <c r="E27" i="10"/>
  <c r="F27" i="10"/>
  <c r="G22" i="10"/>
  <c r="D108" i="15" s="1"/>
  <c r="G27" i="10"/>
  <c r="H22" i="10"/>
  <c r="H27" i="10" s="1"/>
  <c r="I27" i="10"/>
  <c r="J22" i="10"/>
  <c r="J27" i="10" s="1"/>
  <c r="K22" i="10"/>
  <c r="K27" i="10"/>
  <c r="L22" i="10"/>
  <c r="D193" i="15" s="1"/>
  <c r="M22" i="10"/>
  <c r="N22" i="10"/>
  <c r="N27" i="10"/>
  <c r="O22" i="10"/>
  <c r="O27" i="10"/>
  <c r="P22" i="10"/>
  <c r="Q22" i="10"/>
  <c r="R22" i="10"/>
  <c r="S22" i="10"/>
  <c r="T22" i="10"/>
  <c r="U22" i="10"/>
  <c r="V22" i="10"/>
  <c r="W22" i="10"/>
  <c r="W27" i="10"/>
  <c r="X22" i="10"/>
  <c r="Y22" i="10"/>
  <c r="Z22" i="10"/>
  <c r="AA22" i="10"/>
  <c r="AA27" i="10"/>
  <c r="AB22" i="10"/>
  <c r="AB27" i="10"/>
  <c r="AC22" i="10"/>
  <c r="AC27" i="10"/>
  <c r="AD22" i="10"/>
  <c r="AE22" i="10"/>
  <c r="AF22" i="10"/>
  <c r="AG22" i="10"/>
  <c r="AH22"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M24" i="10"/>
  <c r="N24" i="10"/>
  <c r="O24" i="10"/>
  <c r="P24" i="10"/>
  <c r="Q24" i="10"/>
  <c r="R24" i="10"/>
  <c r="S24" i="10"/>
  <c r="T24" i="10"/>
  <c r="U24" i="10"/>
  <c r="V24" i="10"/>
  <c r="W24" i="10"/>
  <c r="X24" i="10"/>
  <c r="Y24" i="10"/>
  <c r="Z24" i="10"/>
  <c r="AA24" i="10"/>
  <c r="AB24" i="10"/>
  <c r="AC24" i="10"/>
  <c r="AD24" i="10"/>
  <c r="AE24" i="10"/>
  <c r="AF24" i="10"/>
  <c r="AG24" i="10"/>
  <c r="AH24" i="10"/>
  <c r="M25" i="10"/>
  <c r="N25" i="10"/>
  <c r="O25" i="10"/>
  <c r="P25" i="10"/>
  <c r="Q25" i="10"/>
  <c r="R25" i="10"/>
  <c r="S25" i="10"/>
  <c r="T25" i="10"/>
  <c r="U25" i="10"/>
  <c r="V25" i="10"/>
  <c r="W25" i="10"/>
  <c r="X25" i="10"/>
  <c r="Y25" i="10"/>
  <c r="Z25" i="10"/>
  <c r="AA25" i="10"/>
  <c r="AB25" i="10"/>
  <c r="AC25" i="10"/>
  <c r="AD25" i="10"/>
  <c r="AE25" i="10"/>
  <c r="AF25" i="10"/>
  <c r="AG25" i="10"/>
  <c r="AH25" i="10"/>
  <c r="M26" i="10"/>
  <c r="N26" i="10"/>
  <c r="O26" i="10"/>
  <c r="P26" i="10"/>
  <c r="Q26" i="10"/>
  <c r="R26" i="10"/>
  <c r="S26" i="10"/>
  <c r="T26" i="10"/>
  <c r="U26" i="10"/>
  <c r="V26" i="10"/>
  <c r="W26" i="10"/>
  <c r="X26" i="10"/>
  <c r="Y26" i="10"/>
  <c r="Z26" i="10"/>
  <c r="AA26" i="10"/>
  <c r="AB26" i="10"/>
  <c r="AC26" i="10"/>
  <c r="AD26" i="10"/>
  <c r="AE26" i="10"/>
  <c r="AF26" i="10"/>
  <c r="Q27" i="10"/>
  <c r="V27" i="10"/>
  <c r="Y27" i="10"/>
  <c r="Z27" i="10"/>
  <c r="AD27" i="10"/>
  <c r="AE27" i="10"/>
  <c r="AF27" i="10"/>
  <c r="S27" i="10"/>
  <c r="M27" i="10"/>
  <c r="U27" i="10"/>
  <c r="R27" i="10"/>
  <c r="X27" i="10"/>
  <c r="T27" i="10"/>
  <c r="P27" i="10"/>
  <c r="AK15" i="10"/>
  <c r="AK14" i="10"/>
  <c r="AK10" i="10"/>
  <c r="AK11" i="10"/>
  <c r="AK18" i="10"/>
  <c r="AK8" i="10"/>
  <c r="AJ22" i="10" l="1"/>
  <c r="AI22" i="10"/>
  <c r="C31" i="10"/>
  <c r="C30" i="10"/>
  <c r="L27" i="10"/>
  <c r="C27" i="10"/>
  <c r="AI27" i="10" s="1"/>
  <c r="C29" i="10"/>
  <c r="D31" i="10" s="1"/>
  <c r="D200" i="15" s="1"/>
  <c r="AI25" i="10"/>
  <c r="C200" i="15" s="1"/>
  <c r="C38" i="15"/>
  <c r="AK7" i="10"/>
  <c r="AI24" i="10"/>
  <c r="C199" i="15" s="1"/>
  <c r="AI26" i="10"/>
  <c r="C201" i="15" s="1"/>
  <c r="C32" i="10"/>
  <c r="D32" i="10" l="1"/>
  <c r="D201" i="15" s="1"/>
  <c r="D30" i="10"/>
  <c r="D199"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Andrew Foulkes</author>
  </authors>
  <commentList>
    <comment ref="I9" authorId="0" shapeId="0" xr:uid="{00000000-0006-0000-0200-000001000000}">
      <text>
        <r>
          <rPr>
            <sz val="9"/>
            <color indexed="81"/>
            <rFont val="Tahoma"/>
            <family val="2"/>
          </rPr>
          <t>Include terms of reference here or in methodology.
Include the purpose of the records review and background circumstances
Top Tip: To go to the "second" line use ALT-ENTER rather than the ENTER key</t>
        </r>
      </text>
    </comment>
    <comment ref="I16" authorId="0" shapeId="0" xr:uid="{00000000-0006-0000-0200-000002000000}">
      <text>
        <r>
          <rPr>
            <sz val="9"/>
            <color indexed="81"/>
            <rFont val="Tahoma"/>
            <family val="2"/>
          </rPr>
          <t>What methodology have you used?
Insert any terms of reference
Standard record audit reviews 30 records. If less are reviewed explain rationale. You will need to alter the number of records reviewed in the appropriate box
Top Tip: To go to the "second" line use ALT-ENTER rather than the ENTER key</t>
        </r>
      </text>
    </comment>
    <comment ref="B25" authorId="0" shapeId="0" xr:uid="{00000000-0006-0000-0200-000003000000}">
      <text>
        <r>
          <rPr>
            <sz val="9"/>
            <color indexed="81"/>
            <rFont val="Tahoma"/>
            <family val="2"/>
          </rPr>
          <t xml:space="preserve">Enter type of consultation in the next field
</t>
        </r>
      </text>
    </comment>
    <comment ref="G25" authorId="0" shapeId="0" xr:uid="{00000000-0006-0000-0200-000004000000}">
      <text>
        <r>
          <rPr>
            <sz val="9"/>
            <color indexed="81"/>
            <rFont val="Tahoma"/>
            <family val="2"/>
          </rPr>
          <t xml:space="preserve">Identify any safety concerns and notify provider of any action required
</t>
        </r>
      </text>
    </comment>
    <comment ref="B42" authorId="0" shapeId="0" xr:uid="{00000000-0006-0000-0200-000005000000}">
      <text>
        <r>
          <rPr>
            <sz val="9"/>
            <color indexed="81"/>
            <rFont val="Tahoma"/>
            <family val="2"/>
          </rPr>
          <t xml:space="preserve">Enter type of consultation in the next field
</t>
        </r>
      </text>
    </comment>
    <comment ref="G42" authorId="0" shapeId="0" xr:uid="{00000000-0006-0000-0200-000006000000}">
      <text>
        <r>
          <rPr>
            <sz val="9"/>
            <color indexed="81"/>
            <rFont val="Tahoma"/>
            <family val="2"/>
          </rPr>
          <t xml:space="preserve">Identify any safety concerns and notify provider of any action required
</t>
        </r>
      </text>
    </comment>
    <comment ref="B59" authorId="0" shapeId="0" xr:uid="{00000000-0006-0000-0200-000007000000}">
      <text>
        <r>
          <rPr>
            <sz val="9"/>
            <color indexed="81"/>
            <rFont val="Tahoma"/>
            <family val="2"/>
          </rPr>
          <t xml:space="preserve">Enter type of consultation in the next field
</t>
        </r>
      </text>
    </comment>
    <comment ref="G59" authorId="0" shapeId="0" xr:uid="{00000000-0006-0000-0200-000008000000}">
      <text>
        <r>
          <rPr>
            <sz val="9"/>
            <color indexed="81"/>
            <rFont val="Tahoma"/>
            <family val="2"/>
          </rPr>
          <t xml:space="preserve">Identify any safety concerns and notify provider of any action required
</t>
        </r>
      </text>
    </comment>
    <comment ref="B76" authorId="0" shapeId="0" xr:uid="{00000000-0006-0000-0200-000009000000}">
      <text>
        <r>
          <rPr>
            <sz val="9"/>
            <color indexed="81"/>
            <rFont val="Tahoma"/>
            <family val="2"/>
          </rPr>
          <t xml:space="preserve">Enter type of consultation in the next field
</t>
        </r>
      </text>
    </comment>
    <comment ref="G76" authorId="0" shapeId="0" xr:uid="{00000000-0006-0000-0200-00000A000000}">
      <text>
        <r>
          <rPr>
            <sz val="9"/>
            <color indexed="81"/>
            <rFont val="Tahoma"/>
            <family val="2"/>
          </rPr>
          <t xml:space="preserve">Identify any safety concerns and notify provider of any action required
</t>
        </r>
      </text>
    </comment>
    <comment ref="B93" authorId="0" shapeId="0" xr:uid="{00000000-0006-0000-0200-00000B000000}">
      <text>
        <r>
          <rPr>
            <sz val="9"/>
            <color indexed="81"/>
            <rFont val="Tahoma"/>
            <family val="2"/>
          </rPr>
          <t xml:space="preserve">Enter type of consultation in the next field
</t>
        </r>
      </text>
    </comment>
    <comment ref="G93" authorId="0" shapeId="0" xr:uid="{00000000-0006-0000-0200-00000C000000}">
      <text>
        <r>
          <rPr>
            <sz val="9"/>
            <color indexed="81"/>
            <rFont val="Tahoma"/>
            <family val="2"/>
          </rPr>
          <t xml:space="preserve">Identify any safety concerns and notify provider of any action required
</t>
        </r>
      </text>
    </comment>
    <comment ref="B110" authorId="0" shapeId="0" xr:uid="{00000000-0006-0000-0200-00000D000000}">
      <text>
        <r>
          <rPr>
            <sz val="9"/>
            <color indexed="81"/>
            <rFont val="Tahoma"/>
            <family val="2"/>
          </rPr>
          <t xml:space="preserve">Enter type of consultation in the next field
</t>
        </r>
      </text>
    </comment>
    <comment ref="G110" authorId="0" shapeId="0" xr:uid="{00000000-0006-0000-0200-00000E000000}">
      <text>
        <r>
          <rPr>
            <sz val="9"/>
            <color indexed="81"/>
            <rFont val="Tahoma"/>
            <family val="2"/>
          </rPr>
          <t xml:space="preserve">Identify any safety concerns and notify provider of any action required
</t>
        </r>
      </text>
    </comment>
    <comment ref="B127" authorId="0" shapeId="0" xr:uid="{00000000-0006-0000-0200-00000F000000}">
      <text>
        <r>
          <rPr>
            <sz val="9"/>
            <color indexed="81"/>
            <rFont val="Tahoma"/>
            <family val="2"/>
          </rPr>
          <t xml:space="preserve">Enter type of consultation in the next field
</t>
        </r>
      </text>
    </comment>
    <comment ref="G127" authorId="0" shapeId="0" xr:uid="{00000000-0006-0000-0200-000010000000}">
      <text>
        <r>
          <rPr>
            <sz val="9"/>
            <color indexed="81"/>
            <rFont val="Tahoma"/>
            <family val="2"/>
          </rPr>
          <t xml:space="preserve">Identify any safety concerns and notify provider of any action required
</t>
        </r>
      </text>
    </comment>
    <comment ref="B144" authorId="0" shapeId="0" xr:uid="{00000000-0006-0000-0200-000011000000}">
      <text>
        <r>
          <rPr>
            <sz val="9"/>
            <color indexed="81"/>
            <rFont val="Tahoma"/>
            <family val="2"/>
          </rPr>
          <t xml:space="preserve">Enter type of consultation in the next field
</t>
        </r>
      </text>
    </comment>
    <comment ref="G144" authorId="0" shapeId="0" xr:uid="{00000000-0006-0000-0200-000012000000}">
      <text>
        <r>
          <rPr>
            <sz val="9"/>
            <color indexed="81"/>
            <rFont val="Tahoma"/>
            <family val="2"/>
          </rPr>
          <t xml:space="preserve">Identify any safety concerns and notify provider of any action required
</t>
        </r>
      </text>
    </comment>
    <comment ref="B161" authorId="0" shapeId="0" xr:uid="{00000000-0006-0000-0200-000013000000}">
      <text>
        <r>
          <rPr>
            <sz val="9"/>
            <color indexed="81"/>
            <rFont val="Tahoma"/>
            <family val="2"/>
          </rPr>
          <t xml:space="preserve">Enter type of consultation in the next field
</t>
        </r>
      </text>
    </comment>
    <comment ref="G161" authorId="0" shapeId="0" xr:uid="{00000000-0006-0000-0200-000014000000}">
      <text>
        <r>
          <rPr>
            <sz val="9"/>
            <color indexed="81"/>
            <rFont val="Tahoma"/>
            <family val="2"/>
          </rPr>
          <t xml:space="preserve">Identify any safety concerns and notify provider of any action required
</t>
        </r>
      </text>
    </comment>
    <comment ref="B178" authorId="0" shapeId="0" xr:uid="{00000000-0006-0000-0200-000015000000}">
      <text>
        <r>
          <rPr>
            <sz val="9"/>
            <color indexed="81"/>
            <rFont val="Tahoma"/>
            <family val="2"/>
          </rPr>
          <t xml:space="preserve">Enter type of consultation in the next field
</t>
        </r>
      </text>
    </comment>
    <comment ref="G178" authorId="0" shapeId="0" xr:uid="{00000000-0006-0000-0200-000016000000}">
      <text>
        <r>
          <rPr>
            <sz val="9"/>
            <color indexed="81"/>
            <rFont val="Tahoma"/>
            <family val="2"/>
          </rPr>
          <t xml:space="preserve">Identify any safety concerns and notify provider of any action required
</t>
        </r>
      </text>
    </comment>
    <comment ref="I204" authorId="0" shapeId="0" xr:uid="{00000000-0006-0000-0200-00003F000000}">
      <text>
        <r>
          <rPr>
            <sz val="9"/>
            <color indexed="81"/>
            <rFont val="Tahoma"/>
            <family val="2"/>
          </rPr>
          <t xml:space="preserve">Top Tip: To go to the "second" line use
ALT-ENTER rather than the ENTER key
Acceptable - performance that is consistent with that of a competent GP
Unacceptable - performance that falls below that expected of a competent GP
</t>
        </r>
      </text>
    </comment>
  </commentList>
</comments>
</file>

<file path=xl/sharedStrings.xml><?xml version="1.0" encoding="utf-8"?>
<sst xmlns="http://schemas.openxmlformats.org/spreadsheetml/2006/main" count="402" uniqueCount="180">
  <si>
    <t>Rating</t>
  </si>
  <si>
    <t xml:space="preserve"> </t>
  </si>
  <si>
    <t>Acceptable</t>
  </si>
  <si>
    <t>Concern</t>
  </si>
  <si>
    <t>Unacceptable</t>
  </si>
  <si>
    <t xml:space="preserve"> Clinical Supervision Consultation Record Audit  </t>
  </si>
  <si>
    <t xml:space="preserve">The  Records Audit Tool has been designed to capture information from 10 up to 20 records routinely and is adapted from the NHSE tool for consultation audits for General Practitioners. 
Start using the Record Audit worksheet and enter your data here. Information including the scoring will be automatically transferred to the Record Report.
The Record Report enables you to provide a narrative covering the background to the review, the methodology used and the conclusions you reach. Each consultation can be scored and commented on.
There is a General Guidance section that explains some of the terminology and the rationale behind the audit tool
The Criteria Guidance Tab gives specific guidance on some of the criteria used in the Audit Tool
Use the Tabs on the worksheets to access the different pages                                                                                                    The Expectation is that this is undertaken in line with the Clinical supervsion policy                                                                    ONCE COMPLETE PLEASE UPLOAD TO CLARITY IN THE DIARY SECTION
 </t>
  </si>
  <si>
    <t>Developed by Dr Andrew Foulkes for NHS England 2015    andrew.foulkes1@nhs.net</t>
  </si>
  <si>
    <t>NHS England Record Review Template</t>
  </si>
  <si>
    <t>Date:</t>
  </si>
  <si>
    <t>Auditor:</t>
  </si>
  <si>
    <t xml:space="preserve">  </t>
  </si>
  <si>
    <t xml:space="preserve">Unique Identifier or NHS number :  </t>
  </si>
  <si>
    <t>Date of Consultation :</t>
  </si>
  <si>
    <t xml:space="preserve">Record number :  </t>
  </si>
  <si>
    <t>1</t>
  </si>
  <si>
    <t>2</t>
  </si>
  <si>
    <t>3</t>
  </si>
  <si>
    <t>4</t>
  </si>
  <si>
    <t>6</t>
  </si>
  <si>
    <t>7</t>
  </si>
  <si>
    <t>8</t>
  </si>
  <si>
    <t>9</t>
  </si>
  <si>
    <t>10</t>
  </si>
  <si>
    <t>11</t>
  </si>
  <si>
    <t>12</t>
  </si>
  <si>
    <t>13</t>
  </si>
  <si>
    <t>14</t>
  </si>
  <si>
    <t>15</t>
  </si>
  <si>
    <t>16</t>
  </si>
  <si>
    <t>17</t>
  </si>
  <si>
    <t>18</t>
  </si>
  <si>
    <t>19</t>
  </si>
  <si>
    <t>Conditional ticks</t>
  </si>
  <si>
    <t xml:space="preserve">Prescriber Name: </t>
  </si>
  <si>
    <t>Total</t>
  </si>
  <si>
    <t>Count</t>
  </si>
  <si>
    <t>tick till</t>
  </si>
  <si>
    <t>exclamation till</t>
  </si>
  <si>
    <t>Entry list 1</t>
  </si>
  <si>
    <t>Entry list 2</t>
  </si>
  <si>
    <t>Entry List 3</t>
  </si>
  <si>
    <t>Data entry and decision making</t>
  </si>
  <si>
    <t>Are the notes coherent and well-structured and include all contacts?</t>
  </si>
  <si>
    <t>Problem appropriately summarised and Read coded</t>
  </si>
  <si>
    <t>Is there a record of the history of the presenting complaint with documentation of relevant positive features?</t>
  </si>
  <si>
    <t>Is there a record of the history of the presenting complaint with documentation of relevant negative features?</t>
  </si>
  <si>
    <t>N</t>
  </si>
  <si>
    <t>Is there a record of any relevant clinical examination findings?</t>
  </si>
  <si>
    <t>Makes appropriate diagnostic decisions based on the information acquired, including referral, with a recording of the working diagnosis</t>
  </si>
  <si>
    <t>Prescribing</t>
  </si>
  <si>
    <t>Is the prescribing for this consultation within current acceptable guidelines?</t>
  </si>
  <si>
    <t>Appropriate advice given regarding common side effects/interactions?</t>
  </si>
  <si>
    <t>Has there been an up to date medicines review?</t>
  </si>
  <si>
    <t>Clinical Guidelines and Planning</t>
  </si>
  <si>
    <t>Follows formally agreed clinical practice guidelines &amp; procedures (national &amp; local) including appropriate referrals made?</t>
  </si>
  <si>
    <t>Is there a record in sufficient detail of the continuing care arrangements and / or safety net plan?</t>
  </si>
  <si>
    <t>Investigations</t>
  </si>
  <si>
    <t>Have all the radiology and pathology results been acted on appropriately?</t>
  </si>
  <si>
    <t xml:space="preserve">totals: </t>
  </si>
  <si>
    <t>Acceptable = 1 (fully compliant)</t>
  </si>
  <si>
    <t>Cause for Concern = 0.5 (partially compliant)</t>
  </si>
  <si>
    <t>Unacceptable =  0 (non-compliant)</t>
  </si>
  <si>
    <t>Not applicable = N</t>
  </si>
  <si>
    <t>Total number of criteria assessed</t>
  </si>
  <si>
    <t>%</t>
  </si>
  <si>
    <t>Number of acceptable criteria</t>
  </si>
  <si>
    <t>Number of cause for concerns</t>
  </si>
  <si>
    <t>Number of unacceptable</t>
  </si>
  <si>
    <t>Record Report template</t>
  </si>
  <si>
    <t>Records Review of Consultations of:</t>
  </si>
  <si>
    <t>Date of Review:</t>
  </si>
  <si>
    <t>Who has requested the review?</t>
  </si>
  <si>
    <t>Conflict of interest / bias checked?</t>
  </si>
  <si>
    <t>Is it a targeted review?</t>
  </si>
  <si>
    <t>Practice setting?</t>
  </si>
  <si>
    <t xml:space="preserve">Clinical Supervisor </t>
  </si>
  <si>
    <t>INTRODUCTION</t>
  </si>
  <si>
    <t>Guidance</t>
  </si>
  <si>
    <t>Routine record audit review. 
No concerns raised but routine review</t>
  </si>
  <si>
    <t>METHODOLOGY</t>
  </si>
  <si>
    <t>10 sequential notes reviwed with a random choice of routine list</t>
  </si>
  <si>
    <t>THE CONSULTATIONS</t>
  </si>
  <si>
    <t>Surgery consultation (new)</t>
  </si>
  <si>
    <t>Please fill in table for each consultation</t>
  </si>
  <si>
    <t>complete field above</t>
  </si>
  <si>
    <t>Patient reference:</t>
  </si>
  <si>
    <t>Date of consultation:</t>
  </si>
  <si>
    <r>
      <t xml:space="preserve">Consultation Record </t>
    </r>
    <r>
      <rPr>
        <i/>
        <sz val="10"/>
        <color indexed="23"/>
        <rFont val="Arial"/>
        <family val="2"/>
      </rPr>
      <t>(copy from clinical system if possible)</t>
    </r>
  </si>
  <si>
    <t>Click on the cell to the left and use the drop down list to select the overall rating of the consultation</t>
  </si>
  <si>
    <t>Comments / Actions required</t>
  </si>
  <si>
    <t>Scores for each criteria</t>
  </si>
  <si>
    <t>A</t>
  </si>
  <si>
    <t>C</t>
  </si>
  <si>
    <t>U</t>
  </si>
  <si>
    <t>Surgery consultation (f/u)</t>
  </si>
  <si>
    <t>RESULTS</t>
  </si>
  <si>
    <t>insert number below</t>
  </si>
  <si>
    <t>Number of consultations analysed</t>
  </si>
  <si>
    <t>Criteria rating</t>
  </si>
  <si>
    <t>Number</t>
  </si>
  <si>
    <t>% (of total)</t>
  </si>
  <si>
    <t>Consultations</t>
  </si>
  <si>
    <t xml:space="preserve">Acceptable </t>
  </si>
  <si>
    <t>Overall Assessment and Comment</t>
  </si>
  <si>
    <t>CONCLUSIONS</t>
  </si>
  <si>
    <t>RECOMMENDATIONS</t>
  </si>
  <si>
    <t>Criteria</t>
  </si>
  <si>
    <t>Explanatory Guidance</t>
  </si>
  <si>
    <t>Acceptable (A)</t>
  </si>
  <si>
    <t>Consultation recorded logically and coherently using either appropriate fields or templates. All contacts recorded</t>
  </si>
  <si>
    <t>Cause for concern (C)</t>
  </si>
  <si>
    <t>Consultation recorded logically and coherently using either appropriate fields or templates but not all contacts recorded</t>
  </si>
  <si>
    <t>Unacceptable (U)</t>
  </si>
  <si>
    <t>Consultation poorly recorded using neither appropriate fields nor templates. Key contacts and information missing</t>
  </si>
  <si>
    <t>Problem not appropriately summarised or Read coded</t>
  </si>
  <si>
    <t>Should be appropriate to the problem.</t>
  </si>
  <si>
    <t>The whole entry should be understandable without reliance on other entries.</t>
  </si>
  <si>
    <t xml:space="preserve">Cause for concern (C) </t>
  </si>
  <si>
    <t>Text difficult to follow or omits a key feature.</t>
  </si>
  <si>
    <t>No entry or omits key features likely to impact on patient care.</t>
  </si>
  <si>
    <t>Makes appropriate diagnostic and referral  decisions based on the information acquired with a recording of the working diagnosis</t>
  </si>
  <si>
    <t>Makes appropriate diagnostic and referral  decisions based on the information acquired but fails to record the working diagnosis or consider alternatives</t>
  </si>
  <si>
    <t>Makes inappropriate diagnostic and referral decisions based on the information acquired with either no recording of the working diagnosis</t>
  </si>
  <si>
    <t>Indication is clear and if prescribing is outside guidelines, then this is documented.</t>
  </si>
  <si>
    <t>Choice of drug is in current guideline but not first line and no documentation present to support choice</t>
  </si>
  <si>
    <t>Drug choice is either outside current guidelines, is inappropriate to problem or is unsafe either in relation to co-prescribed drugs or within case setting. No documentation given to support choice.</t>
  </si>
  <si>
    <t>Expected aspects all clearly recorded if and when appropriate.</t>
  </si>
  <si>
    <t>Omits a key discussion point.</t>
  </si>
  <si>
    <t>No entry therefore likely to impact on patient management</t>
  </si>
  <si>
    <t xml:space="preserve">Evidence that current medication is reviewed at the time of consultation </t>
  </si>
  <si>
    <t>No evidence that current medication is reviewed at the time of consultation</t>
  </si>
  <si>
    <t>No evidence that current medication is reviewed at the time of consultation when a new medication is prescribed</t>
  </si>
  <si>
    <t>Follows recognised guidance and if outside guidelines, then this is documented.</t>
  </si>
  <si>
    <t>Does not follow current guidelines but there is no or little risk to patient safety</t>
  </si>
  <si>
    <t>Does not follow current guidelines, is inappropriate to problem or is unsafe either in relation to the need for referral or other investigations required. No documentation given to support choice of pathway if outside guidance. Risk to patient safety.</t>
  </si>
  <si>
    <t>Appropriate management plan clearly recorded if and when appropriate.</t>
  </si>
  <si>
    <t>Omits a key aspect of management plan</t>
  </si>
  <si>
    <t>No entry therefore likely to impact on patient management.</t>
  </si>
  <si>
    <t>Have all therecent and relevant  radiology and pathology results been acted on appropriately?</t>
  </si>
  <si>
    <t>Management in accordance with guidelines. Clear documentation of reasoning and diagnosis.</t>
  </si>
  <si>
    <t>Management not in accordance with guidelines but unlikely to affect outcome</t>
  </si>
  <si>
    <t>No comment recorded or management plan evidenced</t>
  </si>
  <si>
    <t xml:space="preserve">Overall Assessment </t>
  </si>
  <si>
    <t xml:space="preserve">ANP </t>
  </si>
  <si>
    <t xml:space="preserve">ACP Type: </t>
  </si>
  <si>
    <t>Type</t>
  </si>
  <si>
    <t>Numbers</t>
  </si>
  <si>
    <t>Setting</t>
  </si>
  <si>
    <t>Telephone consultation</t>
  </si>
  <si>
    <t>Home visit</t>
  </si>
  <si>
    <t>Other</t>
  </si>
  <si>
    <t xml:space="preserve">Video </t>
  </si>
  <si>
    <t xml:space="preserve">Econsult </t>
  </si>
  <si>
    <t xml:space="preserve">Coments and overall actions </t>
  </si>
  <si>
    <t>Consider :</t>
  </si>
  <si>
    <t>Prescribing with scope of competence</t>
  </si>
  <si>
    <t xml:space="preserve">In line with Local Forumlary </t>
  </si>
  <si>
    <t>Safety netting</t>
  </si>
  <si>
    <t xml:space="preserve">Learning needs </t>
  </si>
  <si>
    <t xml:space="preserve">Action plan / Areas to address ( if required) </t>
  </si>
  <si>
    <t>RAG</t>
  </si>
  <si>
    <t>Scoring</t>
  </si>
  <si>
    <t>Comment</t>
  </si>
  <si>
    <t>Action</t>
  </si>
  <si>
    <t>Green</t>
  </si>
  <si>
    <t>90-100%</t>
  </si>
  <si>
    <t>Excellent. Consultation notes are of a high standard.</t>
  </si>
  <si>
    <t>Clinician progresses to 3 monthly review</t>
  </si>
  <si>
    <t>Yellow</t>
  </si>
  <si>
    <t>70-89%</t>
  </si>
  <si>
    <t>Good. Minor errors/omissions are present but consultation notes are generally good and of an acceptable standard.</t>
  </si>
  <si>
    <t>Amber</t>
  </si>
  <si>
    <t>50-69%</t>
  </si>
  <si>
    <t>Below Standards. Consultations contain more errors/omissions and generally need improvement. Clinicians will be provided with feedback and expected to show improvement for the next review.</t>
  </si>
  <si>
    <t>Clinician progresses to 1 month review. If no improvement in the next month (RAG yellow or above) face to face review with Partner. If no improvement following this, escalation to Management Partner and consider actions as per Red RAG rating.</t>
  </si>
  <si>
    <t>Red</t>
  </si>
  <si>
    <t>&lt;50%</t>
  </si>
  <si>
    <t>Unacceptable. Consultations are of a poor quality with poor/absent documentation</t>
  </si>
  <si>
    <t>Inform Management Partner / HR Lead. Face to face review with clinician. Consider additional training/support. A locum GP may not be booked for further shifts after discussion with the Management Parnter / HR Lead.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</si>
</sst>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d\.m\.yy;@"/>
    <numFmt numFmtId="165" formatCode="#,##0_ ;\-#,##0\ "/>
    <numFmt numFmtId="166" formatCode="dd/mm/yy;@"/>
  </numFmts>
  <fonts count="48" x14ac:knownFonts="1">
    <font>
      <sz val="10"/>
      <name val="Arial"/>
    </font>
    <font>
      <sz val="10"/>
      <color indexed="9"/>
      <name val="Arial"/>
      <family val="2"/>
    </font>
    <font>
      <b/>
      <sz val="10"/>
      <color indexed="48"/>
      <name val="Arial"/>
      <family val="2"/>
    </font>
    <font>
      <sz val="10"/>
      <name val="Arial"/>
      <family val="2"/>
    </font>
    <font>
      <b/>
      <sz val="8"/>
      <name val="Arial"/>
      <family val="2"/>
    </font>
    <font>
      <sz val="8"/>
      <name val="Arial"/>
      <family val="2"/>
    </font>
    <font>
      <sz val="8"/>
      <color indexed="8"/>
      <name val="Arial"/>
      <family val="2"/>
    </font>
    <font>
      <b/>
      <sz val="8"/>
      <color indexed="8"/>
      <name val="Arial"/>
      <family val="2"/>
    </font>
    <font>
      <sz val="9"/>
      <name val="Arial"/>
      <family val="2"/>
    </font>
    <font>
      <b/>
      <sz val="10"/>
      <name val="Arial"/>
      <family val="2"/>
    </font>
    <font>
      <sz val="10"/>
      <name val="Arial"/>
      <family val="2"/>
    </font>
    <font>
      <sz val="11"/>
      <name val="Calibri"/>
      <family val="2"/>
    </font>
    <font>
      <b/>
      <sz val="11"/>
      <name val="Calibri"/>
      <family val="2"/>
    </font>
    <font>
      <sz val="12"/>
      <name val="Calibri"/>
      <family val="2"/>
    </font>
    <font>
      <i/>
      <sz val="10"/>
      <color indexed="23"/>
      <name val="Arial"/>
      <family val="2"/>
    </font>
    <font>
      <i/>
      <sz val="10"/>
      <name val="Arial"/>
      <family val="2"/>
    </font>
    <font>
      <sz val="9"/>
      <color indexed="81"/>
      <name val="Tahoma"/>
      <family val="2"/>
    </font>
    <font>
      <b/>
      <sz val="10"/>
      <color indexed="9"/>
      <name val="Arial"/>
      <family val="2"/>
    </font>
    <font>
      <b/>
      <sz val="9"/>
      <color indexed="9"/>
      <name val="Arial"/>
      <family val="2"/>
    </font>
    <font>
      <sz val="11"/>
      <color rgb="FF006100"/>
      <name val="Calibri"/>
      <family val="2"/>
      <scheme val="minor"/>
    </font>
    <font>
      <u/>
      <sz val="10"/>
      <color theme="10"/>
      <name val="Arial"/>
      <family val="2"/>
    </font>
    <font>
      <sz val="11"/>
      <color rgb="FF9C6500"/>
      <name val="Calibri"/>
      <family val="2"/>
      <scheme val="minor"/>
    </font>
    <font>
      <sz val="10"/>
      <color theme="0" tint="-0.34998626667073579"/>
      <name val="Arial"/>
      <family val="2"/>
    </font>
    <font>
      <u/>
      <sz val="8"/>
      <color theme="10"/>
      <name val="Arial"/>
      <family val="2"/>
    </font>
    <font>
      <b/>
      <sz val="8"/>
      <color theme="1"/>
      <name val="Arial"/>
      <family val="2"/>
    </font>
    <font>
      <sz val="8"/>
      <color theme="1"/>
      <name val="Arial"/>
      <family val="2"/>
    </font>
    <font>
      <b/>
      <sz val="8"/>
      <color rgb="FF0070C0"/>
      <name val="Arial"/>
      <family val="2"/>
    </font>
    <font>
      <u/>
      <sz val="10"/>
      <color rgb="FF0070C0"/>
      <name val="Arial"/>
      <family val="2"/>
    </font>
    <font>
      <b/>
      <i/>
      <sz val="8"/>
      <color rgb="FF0070C0"/>
      <name val="Arial"/>
      <family val="2"/>
    </font>
    <font>
      <sz val="10"/>
      <color theme="0"/>
      <name val="Arial"/>
      <family val="2"/>
    </font>
    <font>
      <b/>
      <sz val="10"/>
      <color rgb="FF0070C0"/>
      <name val="Arial"/>
      <family val="2"/>
    </font>
    <font>
      <b/>
      <sz val="12"/>
      <color rgb="FF0070C0"/>
      <name val="Arial"/>
      <family val="2"/>
    </font>
    <font>
      <i/>
      <sz val="10"/>
      <color theme="0" tint="-0.499984740745262"/>
      <name val="Arial"/>
      <family val="2"/>
    </font>
    <font>
      <sz val="8"/>
      <color theme="0"/>
      <name val="Arial"/>
      <family val="2"/>
    </font>
    <font>
      <b/>
      <sz val="10"/>
      <color rgb="FF00B050"/>
      <name val="Arial"/>
      <family val="2"/>
    </font>
    <font>
      <b/>
      <sz val="10"/>
      <color theme="0"/>
      <name val="Arial"/>
      <family val="2"/>
    </font>
    <font>
      <b/>
      <sz val="12"/>
      <color rgb="FF002060"/>
      <name val="Arial"/>
      <family val="2"/>
    </font>
    <font>
      <b/>
      <sz val="10"/>
      <color rgb="FF002060"/>
      <name val="Arial"/>
      <family val="2"/>
    </font>
    <font>
      <b/>
      <sz val="20"/>
      <color rgb="FF002060"/>
      <name val="Arial"/>
      <family val="2"/>
    </font>
    <font>
      <b/>
      <sz val="9"/>
      <color theme="1"/>
      <name val="Arial"/>
      <family val="2"/>
    </font>
    <font>
      <sz val="10"/>
      <color theme="1"/>
      <name val="Arial"/>
      <family val="2"/>
    </font>
    <font>
      <sz val="10"/>
      <color rgb="FF0070C0"/>
      <name val="Arial"/>
      <family val="2"/>
    </font>
    <font>
      <b/>
      <sz val="10"/>
      <color theme="3" tint="-0.249977111117893"/>
      <name val="Arial"/>
      <family val="2"/>
    </font>
    <font>
      <sz val="10"/>
      <color theme="3" tint="-0.249977111117893"/>
      <name val="Arial"/>
      <family val="2"/>
    </font>
    <font>
      <i/>
      <sz val="10"/>
      <color rgb="FFFF0000"/>
      <name val="Arial"/>
      <family val="2"/>
    </font>
    <font>
      <sz val="10"/>
      <color rgb="FF000000"/>
      <name val="Arial"/>
      <family val="2"/>
    </font>
    <font>
      <b/>
      <sz val="12"/>
      <name val="Trebuchet MS"/>
      <family val="2"/>
    </font>
    <font>
      <sz val="12"/>
      <color rgb="FF000000"/>
      <name val="Trebuchet MS"/>
      <family val="2"/>
    </font>
  </fonts>
  <fills count="19">
    <fill>
      <patternFill patternType="none"/>
    </fill>
    <fill>
      <patternFill patternType="gray125"/>
    </fill>
    <fill>
      <patternFill patternType="solid">
        <fgColor indexed="9"/>
        <bgColor indexed="64"/>
      </patternFill>
    </fill>
    <fill>
      <patternFill patternType="solid">
        <fgColor rgb="FFC6EFCE"/>
      </patternFill>
    </fill>
    <fill>
      <patternFill patternType="solid">
        <fgColor rgb="FFFFEB9C"/>
      </patternFill>
    </fill>
    <fill>
      <patternFill patternType="solid">
        <fgColor theme="8" tint="0.79998168889431442"/>
        <bgColor indexed="64"/>
      </patternFill>
    </fill>
    <fill>
      <patternFill patternType="solid">
        <fgColor theme="3" tint="0.79998168889431442"/>
        <bgColor indexed="64"/>
      </patternFill>
    </fill>
    <fill>
      <patternFill patternType="solid">
        <fgColor theme="0"/>
        <bgColor indexed="64"/>
      </patternFill>
    </fill>
    <fill>
      <patternFill patternType="solid">
        <fgColor theme="3" tint="0.59999389629810485"/>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theme="6" tint="0.79998168889431442"/>
        <bgColor indexed="64"/>
      </patternFill>
    </fill>
    <fill>
      <patternFill patternType="solid">
        <fgColor theme="3" tint="0.39997558519241921"/>
        <bgColor indexed="64"/>
      </patternFill>
    </fill>
    <fill>
      <patternFill patternType="solid">
        <fgColor theme="0" tint="-0.14996795556505021"/>
        <bgColor indexed="64"/>
      </patternFill>
    </fill>
    <fill>
      <patternFill patternType="solid">
        <fgColor rgb="FF7030A0"/>
        <bgColor indexed="64"/>
      </patternFill>
    </fill>
    <fill>
      <patternFill patternType="solid">
        <fgColor theme="0" tint="-4.9989318521683403E-2"/>
        <bgColor indexed="64"/>
      </patternFill>
    </fill>
    <fill>
      <patternFill patternType="solid">
        <fgColor rgb="FF00AF50"/>
        <bgColor indexed="64"/>
      </patternFill>
    </fill>
    <fill>
      <patternFill patternType="solid">
        <fgColor rgb="FFFFFF00"/>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right/>
      <top/>
      <bottom style="medium">
        <color indexed="64"/>
      </bottom>
      <diagonal/>
    </border>
    <border>
      <left style="medium">
        <color indexed="64"/>
      </left>
      <right/>
      <top style="thin">
        <color indexed="64"/>
      </top>
      <bottom style="thin">
        <color indexed="64"/>
      </bottom>
      <diagonal/>
    </border>
    <border>
      <left style="medium">
        <color indexed="64"/>
      </left>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bottom/>
      <diagonal/>
    </border>
    <border diagonalUp="1">
      <left style="thin">
        <color indexed="64"/>
      </left>
      <right/>
      <top/>
      <bottom/>
      <diagonal style="thin">
        <color indexed="64"/>
      </diagonal>
    </border>
    <border diagonalUp="1">
      <left style="thin">
        <color indexed="64"/>
      </left>
      <right style="thin">
        <color indexed="64"/>
      </right>
      <top/>
      <bottom/>
      <diagonal style="thin">
        <color indexed="64"/>
      </diagonal>
    </border>
    <border>
      <left style="medium">
        <color indexed="64"/>
      </left>
      <right/>
      <top style="thin">
        <color indexed="64"/>
      </top>
      <bottom style="medium">
        <color indexed="9"/>
      </bottom>
      <diagonal/>
    </border>
    <border>
      <left/>
      <right/>
      <top style="thin">
        <color indexed="64"/>
      </top>
      <bottom style="medium">
        <color indexed="9"/>
      </bottom>
      <diagonal/>
    </border>
    <border>
      <left style="medium">
        <color indexed="64"/>
      </left>
      <right/>
      <top style="medium">
        <color indexed="9"/>
      </top>
      <bottom style="medium">
        <color indexed="9"/>
      </bottom>
      <diagonal/>
    </border>
    <border>
      <left/>
      <right/>
      <top style="medium">
        <color indexed="9"/>
      </top>
      <bottom style="medium">
        <color indexed="9"/>
      </bottom>
      <diagonal/>
    </border>
    <border>
      <left/>
      <right style="thin">
        <color indexed="64"/>
      </right>
      <top style="medium">
        <color indexed="9"/>
      </top>
      <bottom style="medium">
        <color indexed="9"/>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medium">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rgb="FF0070C0"/>
      </right>
      <top style="medium">
        <color indexed="64"/>
      </top>
      <bottom/>
      <diagonal/>
    </border>
    <border>
      <left/>
      <right style="thin">
        <color rgb="FF0070C0"/>
      </right>
      <top/>
      <bottom/>
      <diagonal/>
    </border>
    <border>
      <left/>
      <right style="thin">
        <color rgb="FF0070C0"/>
      </right>
      <top/>
      <bottom style="medium">
        <color indexed="64"/>
      </bottom>
      <diagonal/>
    </border>
    <border>
      <left/>
      <right style="thin">
        <color indexed="64"/>
      </right>
      <top style="thin">
        <color indexed="64"/>
      </top>
      <bottom style="thin">
        <color theme="0"/>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right style="medium">
        <color rgb="FFFF0000"/>
      </right>
      <top style="medium">
        <color rgb="FFFF0000"/>
      </top>
      <bottom style="medium">
        <color rgb="FFFF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s>
  <cellStyleXfs count="6">
    <xf numFmtId="0" fontId="0" fillId="0" borderId="0"/>
    <xf numFmtId="44" fontId="10" fillId="0" borderId="0" applyFont="0" applyFill="0" applyBorder="0" applyAlignment="0" applyProtection="0"/>
    <xf numFmtId="0" fontId="19" fillId="3" borderId="0" applyNumberFormat="0" applyBorder="0" applyAlignment="0" applyProtection="0"/>
    <xf numFmtId="0" fontId="20" fillId="0" borderId="0" applyNumberFormat="0" applyFill="0" applyBorder="0" applyAlignment="0" applyProtection="0"/>
    <xf numFmtId="0" fontId="21" fillId="4" borderId="0" applyNumberFormat="0" applyBorder="0" applyAlignment="0" applyProtection="0"/>
    <xf numFmtId="9" fontId="10" fillId="0" borderId="0" applyNumberFormat="0" applyFont="0" applyBorder="0" applyAlignment="0" applyProtection="0"/>
  </cellStyleXfs>
  <cellXfs count="335">
    <xf numFmtId="0" fontId="0" fillId="0" borderId="0" xfId="0"/>
    <xf numFmtId="0" fontId="5" fillId="2" borderId="1" xfId="0" applyFont="1" applyFill="1" applyBorder="1" applyAlignment="1" applyProtection="1">
      <alignment horizontal="center" vertical="center"/>
      <protection locked="0"/>
    </xf>
    <xf numFmtId="0" fontId="1" fillId="0" borderId="0" xfId="0" applyFont="1" applyAlignment="1">
      <alignment horizontal="center"/>
    </xf>
    <xf numFmtId="0" fontId="1" fillId="0" borderId="0" xfId="0" applyFont="1"/>
    <xf numFmtId="0" fontId="1" fillId="0" borderId="0" xfId="0" applyFont="1" applyAlignment="1">
      <alignment vertical="center"/>
    </xf>
    <xf numFmtId="0" fontId="2" fillId="0" borderId="0" xfId="0" applyFont="1"/>
    <xf numFmtId="0" fontId="3" fillId="0" borderId="0" xfId="0" applyFont="1" applyAlignment="1">
      <alignment vertical="center"/>
    </xf>
    <xf numFmtId="0" fontId="3" fillId="0" borderId="0" xfId="0" applyFont="1"/>
    <xf numFmtId="0" fontId="3" fillId="0" borderId="0" xfId="0" applyFont="1" applyAlignment="1">
      <alignment horizontal="right" vertical="center"/>
    </xf>
    <xf numFmtId="0" fontId="5" fillId="2" borderId="1" xfId="0" applyFont="1" applyFill="1" applyBorder="1" applyAlignment="1">
      <alignment horizontal="center" vertical="center"/>
    </xf>
    <xf numFmtId="0" fontId="3" fillId="0" borderId="0" xfId="0" applyFont="1" applyAlignment="1">
      <alignment horizontal="center"/>
    </xf>
    <xf numFmtId="9" fontId="1" fillId="0" borderId="0" xfId="0" applyNumberFormat="1" applyFont="1"/>
    <xf numFmtId="0" fontId="5" fillId="2" borderId="2" xfId="0" applyFont="1" applyFill="1" applyBorder="1" applyAlignment="1" applyProtection="1">
      <alignment horizontal="center" wrapText="1"/>
      <protection locked="0"/>
    </xf>
    <xf numFmtId="0" fontId="5" fillId="2" borderId="3" xfId="0" applyFont="1" applyFill="1" applyBorder="1" applyAlignment="1" applyProtection="1">
      <alignment horizontal="center" wrapText="1"/>
      <protection locked="0"/>
    </xf>
    <xf numFmtId="9" fontId="5" fillId="0" borderId="0" xfId="5" applyFont="1" applyAlignment="1" applyProtection="1">
      <alignment vertical="center"/>
    </xf>
    <xf numFmtId="9" fontId="5" fillId="0" borderId="0" xfId="5" applyFont="1" applyAlignment="1" applyProtection="1">
      <alignment vertical="center"/>
      <protection locked="0"/>
    </xf>
    <xf numFmtId="0" fontId="1" fillId="0" borderId="0" xfId="0" applyFont="1" applyAlignment="1">
      <alignment wrapText="1"/>
    </xf>
    <xf numFmtId="0" fontId="2" fillId="0" borderId="0" xfId="0" applyFont="1" applyAlignment="1">
      <alignment wrapText="1"/>
    </xf>
    <xf numFmtId="0" fontId="4" fillId="2" borderId="4" xfId="0" applyFont="1" applyFill="1" applyBorder="1" applyAlignment="1">
      <alignment horizontal="center"/>
    </xf>
    <xf numFmtId="0" fontId="5" fillId="0" borderId="0" xfId="0" applyFont="1" applyAlignment="1" applyProtection="1">
      <alignment horizontal="center" vertical="center"/>
      <protection locked="0"/>
    </xf>
    <xf numFmtId="0" fontId="11" fillId="0" borderId="5" xfId="0" applyFont="1" applyBorder="1" applyAlignment="1">
      <alignment vertical="center" wrapText="1"/>
    </xf>
    <xf numFmtId="0" fontId="11" fillId="0" borderId="6" xfId="0" applyFont="1" applyBorder="1" applyAlignment="1">
      <alignment vertical="center" wrapText="1"/>
    </xf>
    <xf numFmtId="0" fontId="12" fillId="0" borderId="7" xfId="0" applyFont="1" applyBorder="1" applyAlignment="1">
      <alignment vertical="center" wrapText="1"/>
    </xf>
    <xf numFmtId="0" fontId="11" fillId="0" borderId="7" xfId="0" applyFont="1" applyBorder="1" applyAlignment="1">
      <alignment vertical="center" wrapText="1"/>
    </xf>
    <xf numFmtId="0" fontId="11" fillId="0" borderId="8" xfId="0" applyFont="1" applyBorder="1" applyAlignment="1">
      <alignment vertical="center" wrapText="1"/>
    </xf>
    <xf numFmtId="0" fontId="0" fillId="0" borderId="1" xfId="0" applyBorder="1"/>
    <xf numFmtId="0" fontId="0" fillId="0" borderId="9" xfId="0" applyBorder="1"/>
    <xf numFmtId="0" fontId="0" fillId="0" borderId="10" xfId="0" applyBorder="1"/>
    <xf numFmtId="0" fontId="22" fillId="0" borderId="0" xfId="0" applyFont="1"/>
    <xf numFmtId="0" fontId="5" fillId="2" borderId="2" xfId="0" applyFont="1" applyFill="1" applyBorder="1" applyAlignment="1" applyProtection="1">
      <alignment horizontal="center" vertical="center"/>
      <protection locked="0"/>
    </xf>
    <xf numFmtId="0" fontId="5" fillId="2" borderId="2" xfId="0" applyFont="1" applyFill="1" applyBorder="1" applyAlignment="1">
      <alignment horizontal="center" vertical="center"/>
    </xf>
    <xf numFmtId="0" fontId="5" fillId="0" borderId="11" xfId="0" applyFont="1" applyBorder="1" applyAlignment="1" applyProtection="1">
      <alignment horizontal="center" vertical="center"/>
      <protection locked="0"/>
    </xf>
    <xf numFmtId="165" fontId="8" fillId="0" borderId="1" xfId="1" applyNumberFormat="1" applyFont="1" applyBorder="1" applyAlignment="1" applyProtection="1">
      <alignment horizontal="center"/>
    </xf>
    <xf numFmtId="0" fontId="1" fillId="0" borderId="1" xfId="0" applyFon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0" fontId="3" fillId="0" borderId="1" xfId="0" applyFont="1" applyBorder="1"/>
    <xf numFmtId="9" fontId="0" fillId="0" borderId="1" xfId="0" applyNumberFormat="1" applyBorder="1" applyAlignment="1">
      <alignment horizontal="center"/>
    </xf>
    <xf numFmtId="0" fontId="3" fillId="0" borderId="1" xfId="0" applyFont="1" applyBorder="1" applyAlignment="1">
      <alignment horizontal="center" vertical="center"/>
    </xf>
    <xf numFmtId="0" fontId="9" fillId="5" borderId="5" xfId="0" applyFont="1" applyFill="1" applyBorder="1" applyAlignment="1">
      <alignment horizontal="center"/>
    </xf>
    <xf numFmtId="0" fontId="0" fillId="5" borderId="12" xfId="0" applyFill="1" applyBorder="1"/>
    <xf numFmtId="0" fontId="4" fillId="2" borderId="3" xfId="0" applyFont="1" applyFill="1" applyBorder="1" applyAlignment="1">
      <alignment horizontal="center"/>
    </xf>
    <xf numFmtId="49" fontId="23" fillId="0" borderId="3" xfId="3" applyNumberFormat="1" applyFont="1" applyBorder="1" applyAlignment="1" applyProtection="1">
      <alignment horizontal="left" vertical="center" textRotation="44"/>
      <protection locked="0"/>
    </xf>
    <xf numFmtId="49" fontId="23" fillId="0" borderId="4" xfId="3" applyNumberFormat="1" applyFont="1" applyBorder="1" applyAlignment="1" applyProtection="1">
      <alignment horizontal="left" vertical="center" textRotation="44"/>
      <protection locked="0"/>
    </xf>
    <xf numFmtId="0" fontId="7" fillId="0" borderId="1" xfId="0" applyFont="1" applyBorder="1" applyAlignment="1" applyProtection="1">
      <alignment horizontal="left" textRotation="90"/>
      <protection locked="0"/>
    </xf>
    <xf numFmtId="0" fontId="4" fillId="2" borderId="1" xfId="0" applyFont="1" applyFill="1" applyBorder="1" applyAlignment="1">
      <alignment horizontal="left" textRotation="90"/>
    </xf>
    <xf numFmtId="165" fontId="8" fillId="0" borderId="1" xfId="0" applyNumberFormat="1" applyFont="1" applyBorder="1" applyAlignment="1">
      <alignment horizontal="center"/>
    </xf>
    <xf numFmtId="0" fontId="4" fillId="0" borderId="1" xfId="0" applyFont="1" applyBorder="1" applyAlignment="1" applyProtection="1">
      <alignment horizontal="left" textRotation="90"/>
      <protection locked="0"/>
    </xf>
    <xf numFmtId="0" fontId="3" fillId="0" borderId="13" xfId="0" applyFont="1" applyBorder="1"/>
    <xf numFmtId="0" fontId="0" fillId="0" borderId="12" xfId="0" applyBorder="1"/>
    <xf numFmtId="0" fontId="0" fillId="5" borderId="1" xfId="0" applyFill="1" applyBorder="1"/>
    <xf numFmtId="0" fontId="24" fillId="6" borderId="3" xfId="4" applyFont="1" applyFill="1" applyBorder="1" applyAlignment="1" applyProtection="1">
      <alignment horizontal="center" vertical="center" textRotation="90" wrapText="1"/>
    </xf>
    <xf numFmtId="0" fontId="5" fillId="6" borderId="1" xfId="0" applyFont="1" applyFill="1" applyBorder="1" applyAlignment="1">
      <alignment horizontal="center" vertical="center"/>
    </xf>
    <xf numFmtId="0" fontId="5" fillId="2" borderId="11" xfId="0" applyFont="1" applyFill="1" applyBorder="1" applyAlignment="1" applyProtection="1">
      <alignment horizontal="center" vertical="center"/>
      <protection locked="0"/>
    </xf>
    <xf numFmtId="0" fontId="5" fillId="2" borderId="11" xfId="0" applyFont="1" applyFill="1" applyBorder="1" applyAlignment="1">
      <alignment horizontal="center" vertical="center"/>
    </xf>
    <xf numFmtId="49" fontId="5" fillId="0" borderId="3" xfId="0" applyNumberFormat="1" applyFont="1" applyBorder="1" applyAlignment="1" applyProtection="1">
      <alignment horizontal="center" vertical="center" textRotation="90"/>
      <protection locked="0"/>
    </xf>
    <xf numFmtId="0" fontId="5" fillId="6" borderId="13" xfId="0" applyFont="1" applyFill="1" applyBorder="1" applyAlignment="1">
      <alignment horizontal="center" vertical="center"/>
    </xf>
    <xf numFmtId="9" fontId="25" fillId="0" borderId="1" xfId="5" applyFont="1" applyBorder="1" applyAlignment="1" applyProtection="1">
      <alignment vertical="center"/>
      <protection hidden="1"/>
    </xf>
    <xf numFmtId="9" fontId="25" fillId="0" borderId="1" xfId="5" applyFont="1" applyBorder="1" applyAlignment="1" applyProtection="1">
      <alignment vertical="center"/>
    </xf>
    <xf numFmtId="0" fontId="26" fillId="2" borderId="3" xfId="0" applyFont="1" applyFill="1" applyBorder="1" applyAlignment="1">
      <alignment horizontal="center"/>
    </xf>
    <xf numFmtId="0" fontId="26" fillId="2" borderId="4" xfId="0" applyFont="1" applyFill="1" applyBorder="1" applyAlignment="1">
      <alignment horizontal="center"/>
    </xf>
    <xf numFmtId="0" fontId="1" fillId="6" borderId="14" xfId="0" applyFont="1" applyFill="1" applyBorder="1" applyAlignment="1">
      <alignment horizontal="center"/>
    </xf>
    <xf numFmtId="0" fontId="3" fillId="6" borderId="15" xfId="0" applyFont="1" applyFill="1" applyBorder="1" applyAlignment="1">
      <alignment horizontal="center"/>
    </xf>
    <xf numFmtId="0" fontId="7" fillId="6" borderId="15" xfId="0" applyFont="1" applyFill="1" applyBorder="1"/>
    <xf numFmtId="0" fontId="20" fillId="0" borderId="0" xfId="3" applyBorder="1" applyAlignment="1">
      <alignment textRotation="45"/>
    </xf>
    <xf numFmtId="0" fontId="5" fillId="0" borderId="0" xfId="0" applyFont="1"/>
    <xf numFmtId="0" fontId="27" fillId="7" borderId="16" xfId="3" applyFont="1" applyFill="1" applyBorder="1" applyAlignment="1" applyProtection="1">
      <alignment vertical="distributed" wrapText="1"/>
    </xf>
    <xf numFmtId="0" fontId="27" fillId="7" borderId="17" xfId="3" applyFont="1" applyFill="1" applyBorder="1" applyAlignment="1" applyProtection="1">
      <alignment vertical="distributed" wrapText="1"/>
    </xf>
    <xf numFmtId="0" fontId="27" fillId="7" borderId="17" xfId="3" applyFont="1" applyFill="1" applyBorder="1" applyAlignment="1" applyProtection="1">
      <alignment vertical="center" wrapText="1"/>
    </xf>
    <xf numFmtId="0" fontId="27" fillId="2" borderId="16" xfId="3" applyFont="1" applyFill="1" applyBorder="1" applyAlignment="1" applyProtection="1">
      <alignment vertical="center" wrapText="1"/>
    </xf>
    <xf numFmtId="0" fontId="27" fillId="2" borderId="17" xfId="3" applyFont="1" applyFill="1" applyBorder="1" applyAlignment="1" applyProtection="1">
      <alignment vertical="center" wrapText="1"/>
    </xf>
    <xf numFmtId="0" fontId="27" fillId="2" borderId="18" xfId="3" applyFont="1" applyFill="1" applyBorder="1" applyAlignment="1" applyProtection="1">
      <alignment vertical="center" wrapText="1"/>
    </xf>
    <xf numFmtId="0" fontId="27" fillId="0" borderId="19" xfId="3" applyFont="1" applyBorder="1" applyAlignment="1">
      <alignment wrapText="1"/>
    </xf>
    <xf numFmtId="0" fontId="28" fillId="6" borderId="20" xfId="2" applyFont="1" applyFill="1" applyBorder="1" applyAlignment="1" applyProtection="1">
      <alignment horizontal="right" vertical="center" wrapText="1"/>
    </xf>
    <xf numFmtId="0" fontId="0" fillId="6" borderId="21" xfId="0" applyFill="1" applyBorder="1" applyAlignment="1">
      <alignment vertical="center"/>
    </xf>
    <xf numFmtId="0" fontId="5" fillId="6" borderId="22" xfId="0" applyFont="1" applyFill="1" applyBorder="1" applyAlignment="1">
      <alignment horizontal="center" vertical="center"/>
    </xf>
    <xf numFmtId="0" fontId="29" fillId="6" borderId="23" xfId="0" applyFont="1" applyFill="1" applyBorder="1" applyAlignment="1">
      <alignment vertical="center"/>
    </xf>
    <xf numFmtId="0" fontId="7" fillId="6" borderId="59" xfId="0" applyFont="1" applyFill="1" applyBorder="1"/>
    <xf numFmtId="0" fontId="5" fillId="6" borderId="60" xfId="0" applyFont="1" applyFill="1" applyBorder="1" applyAlignment="1" applyProtection="1">
      <alignment vertical="top" wrapText="1"/>
      <protection locked="0"/>
    </xf>
    <xf numFmtId="0" fontId="0" fillId="6" borderId="60" xfId="0" applyFill="1" applyBorder="1" applyAlignment="1">
      <alignment wrapText="1"/>
    </xf>
    <xf numFmtId="9" fontId="25" fillId="6" borderId="60" xfId="5" applyFont="1" applyFill="1" applyBorder="1" applyAlignment="1" applyProtection="1">
      <alignment vertical="center"/>
      <protection hidden="1"/>
    </xf>
    <xf numFmtId="9" fontId="25" fillId="6" borderId="60" xfId="5" applyFont="1" applyFill="1" applyBorder="1" applyAlignment="1" applyProtection="1">
      <alignment vertical="center"/>
    </xf>
    <xf numFmtId="0" fontId="0" fillId="6" borderId="60" xfId="0" applyFill="1" applyBorder="1"/>
    <xf numFmtId="0" fontId="0" fillId="6" borderId="60" xfId="0" applyFill="1" applyBorder="1" applyAlignment="1">
      <alignment vertical="center"/>
    </xf>
    <xf numFmtId="0" fontId="29" fillId="6" borderId="61" xfId="0" applyFont="1" applyFill="1" applyBorder="1" applyAlignment="1">
      <alignment vertical="center"/>
    </xf>
    <xf numFmtId="0" fontId="30" fillId="6" borderId="15" xfId="0" applyFont="1" applyFill="1" applyBorder="1" applyAlignment="1" applyProtection="1">
      <alignment horizontal="left" vertical="center"/>
      <protection locked="0"/>
    </xf>
    <xf numFmtId="0" fontId="31" fillId="6" borderId="24" xfId="0" applyFont="1" applyFill="1" applyBorder="1" applyAlignment="1" applyProtection="1">
      <alignment vertical="center" wrapText="1"/>
      <protection locked="0"/>
    </xf>
    <xf numFmtId="0" fontId="3" fillId="6" borderId="14" xfId="0" applyFont="1" applyFill="1" applyBorder="1" applyAlignment="1">
      <alignment horizontal="left" vertical="center"/>
    </xf>
    <xf numFmtId="0" fontId="9" fillId="0" borderId="24" xfId="0" applyFont="1" applyBorder="1"/>
    <xf numFmtId="0" fontId="0" fillId="0" borderId="15" xfId="0" applyBorder="1"/>
    <xf numFmtId="0" fontId="0" fillId="0" borderId="25" xfId="0" applyBorder="1"/>
    <xf numFmtId="0" fontId="0" fillId="0" borderId="7" xfId="0" applyBorder="1"/>
    <xf numFmtId="0" fontId="0" fillId="0" borderId="19" xfId="0" applyBorder="1" applyAlignment="1">
      <alignment horizontal="left"/>
    </xf>
    <xf numFmtId="0" fontId="0" fillId="0" borderId="17" xfId="0" applyBorder="1"/>
    <xf numFmtId="0" fontId="0" fillId="0" borderId="19" xfId="0" applyBorder="1"/>
    <xf numFmtId="0" fontId="3" fillId="0" borderId="27" xfId="0" applyFont="1" applyBorder="1"/>
    <xf numFmtId="0" fontId="0" fillId="0" borderId="28" xfId="0" applyBorder="1"/>
    <xf numFmtId="0" fontId="0" fillId="8" borderId="18" xfId="0" applyFill="1" applyBorder="1"/>
    <xf numFmtId="0" fontId="0" fillId="0" borderId="29" xfId="0" applyBorder="1"/>
    <xf numFmtId="0" fontId="0" fillId="0" borderId="16" xfId="0" applyBorder="1"/>
    <xf numFmtId="0" fontId="3" fillId="0" borderId="17" xfId="0" applyFont="1" applyBorder="1" applyAlignment="1">
      <alignment horizontal="center"/>
    </xf>
    <xf numFmtId="0" fontId="3" fillId="0" borderId="20" xfId="0" applyFont="1" applyBorder="1" applyAlignment="1">
      <alignment horizontal="center"/>
    </xf>
    <xf numFmtId="0" fontId="0" fillId="0" borderId="22" xfId="0" applyBorder="1" applyAlignment="1">
      <alignment horizontal="center"/>
    </xf>
    <xf numFmtId="0" fontId="0" fillId="0" borderId="30" xfId="0" applyBorder="1"/>
    <xf numFmtId="0" fontId="3" fillId="0" borderId="17" xfId="0" applyFont="1" applyBorder="1" applyAlignment="1">
      <alignment horizontal="center" vertical="center"/>
    </xf>
    <xf numFmtId="0" fontId="3" fillId="0" borderId="20" xfId="0" applyFont="1" applyBorder="1" applyAlignment="1">
      <alignment horizontal="center" vertical="center"/>
    </xf>
    <xf numFmtId="0" fontId="0" fillId="0" borderId="22" xfId="0" applyBorder="1" applyAlignment="1">
      <alignment horizontal="center" vertical="center"/>
    </xf>
    <xf numFmtId="0" fontId="3" fillId="0" borderId="10" xfId="0" applyFont="1" applyBorder="1"/>
    <xf numFmtId="0" fontId="3" fillId="0" borderId="9" xfId="0" applyFont="1" applyBorder="1"/>
    <xf numFmtId="0" fontId="3" fillId="5" borderId="1" xfId="0" applyFont="1" applyFill="1" applyBorder="1"/>
    <xf numFmtId="0" fontId="3" fillId="0" borderId="15" xfId="0" applyFont="1" applyBorder="1"/>
    <xf numFmtId="0" fontId="3" fillId="0" borderId="7" xfId="0" applyFont="1" applyBorder="1"/>
    <xf numFmtId="0" fontId="3" fillId="0" borderId="19" xfId="0" applyFont="1" applyBorder="1" applyAlignment="1">
      <alignment horizontal="left"/>
    </xf>
    <xf numFmtId="0" fontId="3" fillId="0" borderId="17" xfId="0" applyFont="1" applyBorder="1"/>
    <xf numFmtId="0" fontId="3" fillId="0" borderId="19" xfId="0" applyFont="1" applyBorder="1"/>
    <xf numFmtId="0" fontId="3" fillId="0" borderId="28" xfId="0" applyFont="1" applyBorder="1"/>
    <xf numFmtId="0" fontId="3" fillId="8" borderId="18" xfId="0" applyFont="1" applyFill="1" applyBorder="1"/>
    <xf numFmtId="0" fontId="3" fillId="0" borderId="29" xfId="0" applyFont="1" applyBorder="1"/>
    <xf numFmtId="0" fontId="3" fillId="0" borderId="16" xfId="0" applyFont="1" applyBorder="1"/>
    <xf numFmtId="0" fontId="3" fillId="0" borderId="22" xfId="0" applyFont="1" applyBorder="1" applyAlignment="1">
      <alignment horizontal="center" vertical="center"/>
    </xf>
    <xf numFmtId="0" fontId="3" fillId="0" borderId="30" xfId="0" applyFont="1" applyBorder="1"/>
    <xf numFmtId="0" fontId="3" fillId="9" borderId="17" xfId="0" applyFont="1" applyFill="1" applyBorder="1"/>
    <xf numFmtId="0" fontId="0" fillId="10" borderId="17" xfId="0" applyFill="1" applyBorder="1"/>
    <xf numFmtId="0" fontId="29" fillId="11" borderId="17" xfId="0" applyFont="1" applyFill="1" applyBorder="1"/>
    <xf numFmtId="0" fontId="9" fillId="5" borderId="31" xfId="0" applyFont="1" applyFill="1" applyBorder="1"/>
    <xf numFmtId="0" fontId="32" fillId="12" borderId="26" xfId="0" applyFont="1" applyFill="1" applyBorder="1" applyAlignment="1">
      <alignment horizontal="right"/>
    </xf>
    <xf numFmtId="0" fontId="0" fillId="0" borderId="24" xfId="0" applyBorder="1"/>
    <xf numFmtId="0" fontId="0" fillId="0" borderId="32" xfId="0" applyBorder="1"/>
    <xf numFmtId="0" fontId="22" fillId="0" borderId="30" xfId="0" applyFont="1" applyBorder="1"/>
    <xf numFmtId="0" fontId="32" fillId="12" borderId="33" xfId="0" applyFont="1" applyFill="1" applyBorder="1" applyAlignment="1">
      <alignment horizontal="right" vertical="center"/>
    </xf>
    <xf numFmtId="0" fontId="32" fillId="12" borderId="26" xfId="0" applyFont="1" applyFill="1" applyBorder="1" applyAlignment="1">
      <alignment horizontal="right" vertical="center"/>
    </xf>
    <xf numFmtId="0" fontId="30" fillId="0" borderId="1" xfId="0" applyFont="1" applyBorder="1" applyAlignment="1">
      <alignment horizontal="left"/>
    </xf>
    <xf numFmtId="0" fontId="30" fillId="0" borderId="34" xfId="0" applyFont="1" applyBorder="1" applyAlignment="1">
      <alignment horizontal="left"/>
    </xf>
    <xf numFmtId="0" fontId="30" fillId="0" borderId="1" xfId="0" applyFont="1" applyBorder="1"/>
    <xf numFmtId="0" fontId="6" fillId="13" borderId="35" xfId="0" applyFont="1" applyFill="1" applyBorder="1" applyAlignment="1" applyProtection="1">
      <alignment horizontal="center" shrinkToFit="1"/>
      <protection locked="0"/>
    </xf>
    <xf numFmtId="0" fontId="23" fillId="0" borderId="36" xfId="3" applyFont="1" applyBorder="1" applyAlignment="1" applyProtection="1">
      <alignment horizontal="left" textRotation="45" readingOrder="1"/>
    </xf>
    <xf numFmtId="0" fontId="20" fillId="0" borderId="36" xfId="3" applyBorder="1" applyAlignment="1" applyProtection="1">
      <alignment horizontal="left" textRotation="45" readingOrder="1"/>
    </xf>
    <xf numFmtId="0" fontId="20" fillId="0" borderId="37" xfId="3" applyBorder="1" applyAlignment="1" applyProtection="1">
      <alignment horizontal="left" textRotation="45" readingOrder="1"/>
    </xf>
    <xf numFmtId="0" fontId="4" fillId="0" borderId="1" xfId="0" applyFont="1" applyBorder="1" applyAlignment="1">
      <alignment horizontal="left" textRotation="90"/>
    </xf>
    <xf numFmtId="166" fontId="28" fillId="0" borderId="1" xfId="0" applyNumberFormat="1" applyFont="1" applyBorder="1" applyAlignment="1" applyProtection="1">
      <alignment horizontal="center" vertical="center" textRotation="90"/>
      <protection locked="0"/>
    </xf>
    <xf numFmtId="0" fontId="6" fillId="13" borderId="62" xfId="0" applyFont="1" applyFill="1" applyBorder="1" applyAlignment="1" applyProtection="1">
      <alignment horizontal="center" shrinkToFit="1"/>
      <protection locked="0"/>
    </xf>
    <xf numFmtId="0" fontId="26" fillId="2" borderId="3" xfId="0" applyFont="1" applyFill="1" applyBorder="1" applyAlignment="1">
      <alignment horizontal="center" vertical="center" textRotation="90"/>
    </xf>
    <xf numFmtId="0" fontId="31" fillId="0" borderId="0" xfId="0" applyFont="1"/>
    <xf numFmtId="0" fontId="5" fillId="0" borderId="0" xfId="0" applyFont="1" applyAlignment="1" applyProtection="1">
      <alignment vertical="top" wrapText="1"/>
      <protection locked="0"/>
    </xf>
    <xf numFmtId="0" fontId="4" fillId="2" borderId="0" xfId="0" applyFont="1" applyFill="1" applyAlignment="1">
      <alignment horizontal="center"/>
    </xf>
    <xf numFmtId="0" fontId="33" fillId="7" borderId="22" xfId="0" applyFont="1" applyFill="1" applyBorder="1" applyAlignment="1">
      <alignment horizontal="center" vertical="center"/>
    </xf>
    <xf numFmtId="0" fontId="3" fillId="0" borderId="0" xfId="0" applyFont="1" applyAlignment="1">
      <alignment horizontal="right"/>
    </xf>
    <xf numFmtId="0" fontId="15" fillId="0" borderId="0" xfId="0" applyFont="1"/>
    <xf numFmtId="0" fontId="20" fillId="7" borderId="18" xfId="3" applyFill="1" applyBorder="1" applyAlignment="1" applyProtection="1">
      <alignment vertical="center" wrapText="1"/>
    </xf>
    <xf numFmtId="0" fontId="0" fillId="14" borderId="15" xfId="0" applyFill="1" applyBorder="1"/>
    <xf numFmtId="0" fontId="34" fillId="0" borderId="1" xfId="0" applyFont="1" applyBorder="1"/>
    <xf numFmtId="0" fontId="35" fillId="15" borderId="1" xfId="0" applyFont="1" applyFill="1" applyBorder="1"/>
    <xf numFmtId="0" fontId="9" fillId="0" borderId="1" xfId="0" applyFont="1" applyBorder="1"/>
    <xf numFmtId="0" fontId="3" fillId="0" borderId="1" xfId="0" applyFont="1" applyBorder="1" applyAlignment="1">
      <alignment wrapText="1"/>
    </xf>
    <xf numFmtId="0" fontId="9" fillId="0" borderId="1" xfId="0" applyFont="1" applyBorder="1" applyAlignment="1">
      <alignment vertical="top"/>
    </xf>
    <xf numFmtId="14" fontId="30" fillId="0" borderId="1" xfId="0" applyNumberFormat="1" applyFont="1" applyBorder="1" applyAlignment="1">
      <alignment horizontal="left"/>
    </xf>
    <xf numFmtId="14" fontId="3" fillId="5" borderId="26" xfId="0" applyNumberFormat="1" applyFont="1" applyFill="1" applyBorder="1"/>
    <xf numFmtId="0" fontId="46" fillId="0" borderId="66" xfId="0" applyFont="1" applyBorder="1" applyAlignment="1">
      <alignment vertical="center" wrapText="1"/>
    </xf>
    <xf numFmtId="0" fontId="46" fillId="0" borderId="67" xfId="0" applyFont="1" applyBorder="1" applyAlignment="1">
      <alignment vertical="center" wrapText="1"/>
    </xf>
    <xf numFmtId="0" fontId="47" fillId="17" borderId="67" xfId="0" applyFont="1" applyFill="1" applyBorder="1" applyAlignment="1">
      <alignment vertical="center" wrapText="1"/>
    </xf>
    <xf numFmtId="0" fontId="47" fillId="17" borderId="68" xfId="0" applyFont="1" applyFill="1" applyBorder="1" applyAlignment="1">
      <alignment vertical="center" wrapText="1"/>
    </xf>
    <xf numFmtId="0" fontId="47" fillId="18" borderId="67" xfId="0" applyFont="1" applyFill="1" applyBorder="1" applyAlignment="1">
      <alignment vertical="center" wrapText="1"/>
    </xf>
    <xf numFmtId="0" fontId="47" fillId="18" borderId="68" xfId="0" applyFont="1" applyFill="1" applyBorder="1" applyAlignment="1">
      <alignment vertical="center" wrapText="1"/>
    </xf>
    <xf numFmtId="0" fontId="47" fillId="10" borderId="67" xfId="0" applyFont="1" applyFill="1" applyBorder="1" applyAlignment="1">
      <alignment vertical="center" wrapText="1"/>
    </xf>
    <xf numFmtId="0" fontId="47" fillId="10" borderId="68" xfId="0" applyFont="1" applyFill="1" applyBorder="1" applyAlignment="1">
      <alignment vertical="center" wrapText="1"/>
    </xf>
    <xf numFmtId="0" fontId="47" fillId="11" borderId="67" xfId="0" applyFont="1" applyFill="1" applyBorder="1" applyAlignment="1">
      <alignment vertical="center" wrapText="1"/>
    </xf>
    <xf numFmtId="0" fontId="47" fillId="11" borderId="68" xfId="0" applyFont="1" applyFill="1" applyBorder="1" applyAlignment="1">
      <alignment vertical="center" wrapText="1"/>
    </xf>
    <xf numFmtId="0" fontId="36" fillId="0" borderId="0" xfId="0" applyFont="1" applyAlignment="1">
      <alignment horizontal="left" vertical="top" wrapText="1"/>
    </xf>
    <xf numFmtId="0" fontId="37" fillId="0" borderId="0" xfId="0" applyFont="1" applyAlignment="1">
      <alignment horizontal="left" vertical="top" wrapText="1"/>
    </xf>
    <xf numFmtId="0" fontId="38" fillId="0" borderId="0" xfId="0" applyFont="1" applyAlignment="1">
      <alignment horizontal="left" vertical="top"/>
    </xf>
    <xf numFmtId="0" fontId="0" fillId="0" borderId="0" xfId="0" applyAlignment="1">
      <alignment horizontal="left" vertical="top"/>
    </xf>
    <xf numFmtId="0" fontId="3" fillId="0" borderId="0" xfId="0" applyFont="1" applyAlignment="1">
      <alignment vertical="center"/>
    </xf>
    <xf numFmtId="0" fontId="0" fillId="0" borderId="0" xfId="0" applyAlignment="1">
      <alignment vertical="center"/>
    </xf>
    <xf numFmtId="0" fontId="0" fillId="0" borderId="0" xfId="0"/>
    <xf numFmtId="0" fontId="3" fillId="0" borderId="0" xfId="0" applyFont="1"/>
    <xf numFmtId="0" fontId="2" fillId="0" borderId="13" xfId="0" applyFont="1" applyBorder="1" applyAlignment="1">
      <alignment wrapText="1"/>
    </xf>
    <xf numFmtId="0" fontId="0" fillId="0" borderId="9" xfId="0" applyBorder="1"/>
    <xf numFmtId="0" fontId="17" fillId="13" borderId="19" xfId="0" applyFont="1" applyFill="1" applyBorder="1" applyAlignment="1">
      <alignment horizontal="left" vertical="center"/>
    </xf>
    <xf numFmtId="0" fontId="17" fillId="13" borderId="35" xfId="0" applyFont="1" applyFill="1" applyBorder="1" applyAlignment="1">
      <alignment horizontal="left" vertical="center"/>
    </xf>
    <xf numFmtId="0" fontId="2" fillId="0" borderId="1" xfId="0" applyFont="1" applyBorder="1" applyAlignment="1">
      <alignment wrapText="1"/>
    </xf>
    <xf numFmtId="0" fontId="0" fillId="0" borderId="1" xfId="0" applyBorder="1"/>
    <xf numFmtId="164" fontId="3" fillId="16" borderId="14" xfId="0" applyNumberFormat="1" applyFont="1" applyFill="1" applyBorder="1" applyAlignment="1">
      <alignment horizontal="left" vertical="distributed"/>
    </xf>
    <xf numFmtId="0" fontId="0" fillId="16" borderId="14" xfId="0" applyFill="1" applyBorder="1" applyAlignment="1">
      <alignment horizontal="left"/>
    </xf>
    <xf numFmtId="9" fontId="8" fillId="0" borderId="1" xfId="0" applyNumberFormat="1" applyFont="1" applyBorder="1" applyAlignment="1">
      <alignment horizontal="center"/>
    </xf>
    <xf numFmtId="0" fontId="0" fillId="0" borderId="1" xfId="0" applyBorder="1" applyAlignment="1">
      <alignment horizontal="center"/>
    </xf>
    <xf numFmtId="0" fontId="42" fillId="6" borderId="19" xfId="0" applyFont="1" applyFill="1" applyBorder="1" applyAlignment="1">
      <alignment horizontal="left" vertical="center" wrapText="1"/>
    </xf>
    <xf numFmtId="0" fontId="43" fillId="0" borderId="0" xfId="0" applyFont="1" applyAlignment="1">
      <alignment vertical="center" wrapText="1"/>
    </xf>
    <xf numFmtId="0" fontId="43" fillId="0" borderId="35" xfId="0" applyFont="1" applyBorder="1" applyAlignment="1">
      <alignment vertical="center"/>
    </xf>
    <xf numFmtId="0" fontId="39" fillId="6" borderId="3" xfId="4" applyFont="1" applyFill="1" applyBorder="1" applyAlignment="1" applyProtection="1">
      <alignment horizontal="center" vertical="center" textRotation="90"/>
    </xf>
    <xf numFmtId="0" fontId="40" fillId="6" borderId="3" xfId="0" applyFont="1" applyFill="1" applyBorder="1" applyAlignment="1">
      <alignment horizontal="center" vertical="center" textRotation="90"/>
    </xf>
    <xf numFmtId="0" fontId="39" fillId="6" borderId="3" xfId="4" applyFont="1" applyFill="1" applyBorder="1" applyAlignment="1" applyProtection="1">
      <alignment horizontal="center" vertical="center" textRotation="90" wrapText="1"/>
    </xf>
    <xf numFmtId="0" fontId="40" fillId="6" borderId="3" xfId="0" applyFont="1" applyFill="1" applyBorder="1" applyAlignment="1">
      <alignment horizontal="center" vertical="center" textRotation="90" wrapText="1"/>
    </xf>
    <xf numFmtId="0" fontId="30" fillId="6" borderId="19" xfId="0" applyFont="1" applyFill="1" applyBorder="1" applyAlignment="1" applyProtection="1">
      <alignment horizontal="left" vertical="center"/>
      <protection locked="0"/>
    </xf>
    <xf numFmtId="0" fontId="41" fillId="0" borderId="0" xfId="0" applyFont="1" applyAlignment="1">
      <alignment vertical="center"/>
    </xf>
    <xf numFmtId="0" fontId="41" fillId="0" borderId="35" xfId="0" applyFont="1" applyBorder="1" applyAlignment="1">
      <alignment vertical="center"/>
    </xf>
    <xf numFmtId="0" fontId="30" fillId="6" borderId="14" xfId="0" applyFont="1" applyFill="1" applyBorder="1" applyAlignment="1" applyProtection="1">
      <alignment horizontal="left" vertical="center"/>
      <protection locked="0"/>
    </xf>
    <xf numFmtId="0" fontId="3" fillId="0" borderId="14" xfId="0" applyFont="1" applyBorder="1" applyAlignment="1">
      <alignment horizontal="left" vertical="center"/>
    </xf>
    <xf numFmtId="9" fontId="8" fillId="0" borderId="1" xfId="0" applyNumberFormat="1" applyFont="1" applyBorder="1" applyAlignment="1">
      <alignment horizontal="center" shrinkToFit="1"/>
    </xf>
    <xf numFmtId="0" fontId="0" fillId="0" borderId="1" xfId="0" applyBorder="1" applyAlignment="1">
      <alignment horizontal="center" shrinkToFit="1"/>
    </xf>
    <xf numFmtId="0" fontId="8" fillId="0" borderId="1" xfId="0" applyFont="1" applyBorder="1" applyAlignment="1">
      <alignment horizontal="center" shrinkToFit="1"/>
    </xf>
    <xf numFmtId="0" fontId="3" fillId="16" borderId="13" xfId="0" applyFont="1" applyFill="1" applyBorder="1" applyAlignment="1">
      <alignment horizontal="left" vertical="center"/>
    </xf>
    <xf numFmtId="0" fontId="0" fillId="16" borderId="12" xfId="0" applyFill="1" applyBorder="1" applyAlignment="1">
      <alignment horizontal="left" vertical="center"/>
    </xf>
    <xf numFmtId="0" fontId="0" fillId="16" borderId="9" xfId="0" applyFill="1" applyBorder="1" applyAlignment="1">
      <alignment horizontal="left" vertical="center"/>
    </xf>
    <xf numFmtId="0" fontId="30" fillId="6" borderId="14" xfId="0" applyFont="1" applyFill="1" applyBorder="1" applyAlignment="1">
      <alignment horizontal="left" vertical="center" wrapText="1"/>
    </xf>
    <xf numFmtId="0" fontId="30" fillId="0" borderId="14" xfId="0" applyFont="1" applyBorder="1" applyAlignment="1">
      <alignment horizontal="left" vertical="center" wrapText="1"/>
    </xf>
    <xf numFmtId="0" fontId="30" fillId="6" borderId="14" xfId="0" applyFont="1" applyFill="1" applyBorder="1" applyAlignment="1">
      <alignment horizontal="left" vertical="center"/>
    </xf>
    <xf numFmtId="0" fontId="30" fillId="0" borderId="14" xfId="0" applyFont="1" applyBorder="1" applyAlignment="1">
      <alignment horizontal="left" vertical="center"/>
    </xf>
    <xf numFmtId="0" fontId="3" fillId="16" borderId="14" xfId="0" applyFont="1" applyFill="1" applyBorder="1" applyAlignment="1">
      <alignment horizontal="left" vertical="center"/>
    </xf>
    <xf numFmtId="0" fontId="0" fillId="16" borderId="14" xfId="0" applyFill="1" applyBorder="1" applyAlignment="1">
      <alignment horizontal="left" vertical="center"/>
    </xf>
    <xf numFmtId="0" fontId="41" fillId="16" borderId="14" xfId="0" applyFont="1" applyFill="1" applyBorder="1" applyAlignment="1">
      <alignment horizontal="left" vertical="center"/>
    </xf>
    <xf numFmtId="0" fontId="18" fillId="13" borderId="38" xfId="0" applyFont="1" applyFill="1" applyBorder="1" applyAlignment="1">
      <alignment horizontal="right" vertical="center"/>
    </xf>
    <xf numFmtId="0" fontId="18" fillId="13" borderId="39" xfId="0" applyFont="1" applyFill="1" applyBorder="1" applyAlignment="1">
      <alignment horizontal="right" vertical="center"/>
    </xf>
    <xf numFmtId="0" fontId="9" fillId="0" borderId="0" xfId="0" applyFont="1" applyAlignment="1">
      <alignment horizontal="center"/>
    </xf>
    <xf numFmtId="0" fontId="18" fillId="13" borderId="40" xfId="0" applyFont="1" applyFill="1" applyBorder="1" applyAlignment="1">
      <alignment horizontal="right" vertical="center"/>
    </xf>
    <xf numFmtId="0" fontId="0" fillId="0" borderId="41" xfId="0" applyBorder="1" applyAlignment="1">
      <alignment horizontal="right" vertical="center"/>
    </xf>
    <xf numFmtId="0" fontId="18" fillId="13" borderId="42" xfId="0" applyFont="1" applyFill="1" applyBorder="1" applyAlignment="1">
      <alignment horizontal="right" vertical="center"/>
    </xf>
    <xf numFmtId="0" fontId="42" fillId="6" borderId="19" xfId="2" applyFont="1" applyFill="1" applyBorder="1" applyAlignment="1" applyProtection="1">
      <alignment horizontal="left" vertical="center" wrapText="1"/>
    </xf>
    <xf numFmtId="0" fontId="43" fillId="0" borderId="0" xfId="0" applyFont="1" applyAlignment="1">
      <alignment horizontal="left" vertical="center" wrapText="1"/>
    </xf>
    <xf numFmtId="0" fontId="43" fillId="0" borderId="35" xfId="0" applyFont="1" applyBorder="1" applyAlignment="1">
      <alignment horizontal="left" vertical="center" wrapText="1"/>
    </xf>
    <xf numFmtId="0" fontId="42" fillId="6" borderId="19" xfId="4" applyFont="1" applyFill="1" applyBorder="1" applyAlignment="1" applyProtection="1">
      <alignment horizontal="left" vertical="center" wrapText="1"/>
    </xf>
    <xf numFmtId="0" fontId="43" fillId="0" borderId="0" xfId="0" applyFont="1" applyAlignment="1">
      <alignment horizontal="left" vertical="center"/>
    </xf>
    <xf numFmtId="0" fontId="43" fillId="0" borderId="0" xfId="0" applyFont="1" applyAlignment="1">
      <alignment vertical="center"/>
    </xf>
    <xf numFmtId="0" fontId="5" fillId="2" borderId="43" xfId="0" applyFont="1" applyFill="1" applyBorder="1" applyAlignment="1" applyProtection="1">
      <alignment horizontal="center" wrapText="1"/>
      <protection locked="0"/>
    </xf>
    <xf numFmtId="0" fontId="5" fillId="2" borderId="35" xfId="0" applyFont="1" applyFill="1" applyBorder="1" applyAlignment="1" applyProtection="1">
      <alignment horizontal="center" wrapText="1"/>
      <protection locked="0"/>
    </xf>
    <xf numFmtId="0" fontId="32" fillId="0" borderId="19" xfId="0" applyFont="1" applyBorder="1"/>
    <xf numFmtId="0" fontId="32" fillId="0" borderId="0" xfId="0" applyFont="1"/>
    <xf numFmtId="0" fontId="32" fillId="0" borderId="10" xfId="0" applyFont="1" applyBorder="1"/>
    <xf numFmtId="0" fontId="0" fillId="0" borderId="43" xfId="0" applyBorder="1"/>
    <xf numFmtId="0" fontId="3" fillId="0" borderId="19" xfId="0" applyFont="1" applyBorder="1" applyAlignment="1">
      <alignment horizontal="left" vertical="top" wrapText="1"/>
    </xf>
    <xf numFmtId="0" fontId="0" fillId="0" borderId="0" xfId="0" applyAlignment="1">
      <alignment horizontal="left" vertical="top" wrapText="1"/>
    </xf>
    <xf numFmtId="0" fontId="0" fillId="0" borderId="7" xfId="0" applyBorder="1" applyAlignment="1">
      <alignment horizontal="left" vertical="top" wrapText="1"/>
    </xf>
    <xf numFmtId="0" fontId="0" fillId="0" borderId="19" xfId="0" applyBorder="1" applyAlignment="1">
      <alignment horizontal="left" vertical="top" wrapText="1"/>
    </xf>
    <xf numFmtId="0" fontId="0" fillId="0" borderId="44" xfId="0" applyBorder="1" applyAlignment="1">
      <alignment horizontal="left" vertical="top" wrapText="1"/>
    </xf>
    <xf numFmtId="0" fontId="0" fillId="0" borderId="45" xfId="0" applyBorder="1" applyAlignment="1">
      <alignment horizontal="left" vertical="top" wrapText="1"/>
    </xf>
    <xf numFmtId="0" fontId="0" fillId="0" borderId="46" xfId="0" applyBorder="1" applyAlignment="1">
      <alignment horizontal="left" vertical="top" wrapText="1"/>
    </xf>
    <xf numFmtId="0" fontId="32" fillId="0" borderId="10" xfId="0" applyFont="1" applyBorder="1" applyAlignment="1">
      <alignment vertical="center" wrapText="1"/>
    </xf>
    <xf numFmtId="0" fontId="32" fillId="0" borderId="43" xfId="0" applyFont="1" applyBorder="1" applyAlignment="1">
      <alignment vertical="center" wrapText="1"/>
    </xf>
    <xf numFmtId="0" fontId="32" fillId="0" borderId="0" xfId="0" applyFont="1" applyAlignment="1">
      <alignment vertical="center" wrapText="1"/>
    </xf>
    <xf numFmtId="0" fontId="32" fillId="0" borderId="35" xfId="0" applyFont="1" applyBorder="1" applyAlignment="1">
      <alignment vertical="center" wrapText="1"/>
    </xf>
    <xf numFmtId="0" fontId="32" fillId="0" borderId="45" xfId="0" applyFont="1" applyBorder="1" applyAlignment="1">
      <alignment vertical="center" wrapText="1"/>
    </xf>
    <xf numFmtId="0" fontId="32" fillId="0" borderId="47" xfId="0" applyFont="1" applyBorder="1" applyAlignment="1">
      <alignment vertical="center" wrapText="1"/>
    </xf>
    <xf numFmtId="0" fontId="0" fillId="5" borderId="48" xfId="0" applyFill="1" applyBorder="1"/>
    <xf numFmtId="0" fontId="0" fillId="5" borderId="10" xfId="0" applyFill="1" applyBorder="1"/>
    <xf numFmtId="0" fontId="0" fillId="5" borderId="28" xfId="0" applyFill="1" applyBorder="1"/>
    <xf numFmtId="0" fontId="3" fillId="0" borderId="48" xfId="0" applyFont="1" applyBorder="1" applyAlignment="1">
      <alignment horizontal="left" vertical="top" wrapText="1"/>
    </xf>
    <xf numFmtId="0" fontId="0" fillId="0" borderId="10" xfId="0" applyBorder="1" applyAlignment="1">
      <alignment horizontal="left" vertical="top" wrapText="1"/>
    </xf>
    <xf numFmtId="0" fontId="0" fillId="0" borderId="28" xfId="0" applyBorder="1" applyAlignment="1">
      <alignment horizontal="left" vertical="top" wrapText="1"/>
    </xf>
    <xf numFmtId="0" fontId="0" fillId="0" borderId="4" xfId="0" applyBorder="1" applyAlignment="1">
      <alignment horizontal="left" vertical="top" wrapText="1"/>
    </xf>
    <xf numFmtId="0" fontId="0" fillId="0" borderId="49" xfId="0" applyBorder="1" applyAlignment="1">
      <alignment horizontal="left" vertical="top" wrapText="1"/>
    </xf>
    <xf numFmtId="0" fontId="0" fillId="0" borderId="30" xfId="0" applyBorder="1" applyAlignment="1">
      <alignment horizontal="left" vertical="top" wrapText="1"/>
    </xf>
    <xf numFmtId="0" fontId="0" fillId="0" borderId="8" xfId="0" applyBorder="1" applyAlignment="1">
      <alignment horizontal="left" vertical="top" wrapText="1"/>
    </xf>
    <xf numFmtId="0" fontId="44" fillId="0" borderId="63" xfId="0" applyFont="1" applyBorder="1"/>
    <xf numFmtId="0" fontId="44" fillId="0" borderId="64" xfId="0" applyFont="1" applyBorder="1"/>
    <xf numFmtId="0" fontId="44" fillId="0" borderId="65" xfId="0" applyFont="1" applyBorder="1"/>
    <xf numFmtId="0" fontId="9" fillId="5" borderId="24" xfId="0" applyFont="1" applyFill="1" applyBorder="1"/>
    <xf numFmtId="0" fontId="0" fillId="5" borderId="15" xfId="0" applyFill="1" applyBorder="1"/>
    <xf numFmtId="0" fontId="0" fillId="5" borderId="25" xfId="0" applyFill="1" applyBorder="1"/>
    <xf numFmtId="0" fontId="0" fillId="0" borderId="50" xfId="0" applyBorder="1" applyAlignment="1">
      <alignment horizontal="center" vertical="center"/>
    </xf>
    <xf numFmtId="0" fontId="0" fillId="0" borderId="46" xfId="0" applyBorder="1" applyAlignment="1">
      <alignment horizontal="center" vertical="center"/>
    </xf>
    <xf numFmtId="9" fontId="0" fillId="0" borderId="13" xfId="0" applyNumberFormat="1" applyBorder="1" applyAlignment="1">
      <alignment horizontal="center" vertical="center"/>
    </xf>
    <xf numFmtId="9" fontId="0" fillId="0" borderId="51" xfId="0" applyNumberFormat="1" applyBorder="1" applyAlignment="1">
      <alignment horizontal="center" vertical="center"/>
    </xf>
    <xf numFmtId="0" fontId="0" fillId="0" borderId="27" xfId="0" applyBorder="1" applyAlignment="1">
      <alignment horizontal="left" vertical="top" wrapText="1"/>
    </xf>
    <xf numFmtId="0" fontId="0" fillId="0" borderId="32" xfId="0" applyBorder="1" applyAlignment="1">
      <alignment horizontal="left" vertical="top" wrapText="1"/>
    </xf>
    <xf numFmtId="0" fontId="3" fillId="0" borderId="27" xfId="0" applyFont="1" applyBorder="1" applyAlignment="1">
      <alignment horizontal="left" vertical="top" wrapText="1" shrinkToFit="1"/>
    </xf>
    <xf numFmtId="0" fontId="0" fillId="0" borderId="10" xfId="0" applyBorder="1" applyAlignment="1">
      <alignment horizontal="left" vertical="top" wrapText="1" shrinkToFit="1"/>
    </xf>
    <xf numFmtId="0" fontId="0" fillId="0" borderId="28" xfId="0" applyBorder="1" applyAlignment="1">
      <alignment horizontal="left" vertical="top" wrapText="1" shrinkToFit="1"/>
    </xf>
    <xf numFmtId="0" fontId="0" fillId="0" borderId="19" xfId="0" applyBorder="1" applyAlignment="1">
      <alignment horizontal="left" vertical="top" wrapText="1" shrinkToFit="1"/>
    </xf>
    <xf numFmtId="0" fontId="0" fillId="0" borderId="0" xfId="0" applyAlignment="1">
      <alignment horizontal="left" vertical="top" wrapText="1" shrinkToFit="1"/>
    </xf>
    <xf numFmtId="0" fontId="0" fillId="0" borderId="7" xfId="0" applyBorder="1" applyAlignment="1">
      <alignment horizontal="left" vertical="top" wrapText="1" shrinkToFit="1"/>
    </xf>
    <xf numFmtId="0" fontId="0" fillId="0" borderId="32" xfId="0" applyBorder="1" applyAlignment="1">
      <alignment horizontal="left" vertical="top" wrapText="1" shrinkToFit="1"/>
    </xf>
    <xf numFmtId="0" fontId="0" fillId="0" borderId="30" xfId="0" applyBorder="1" applyAlignment="1">
      <alignment horizontal="left" vertical="top" wrapText="1" shrinkToFit="1"/>
    </xf>
    <xf numFmtId="0" fontId="0" fillId="0" borderId="8" xfId="0" applyBorder="1" applyAlignment="1">
      <alignment horizontal="left" vertical="top" wrapText="1" shrinkToFit="1"/>
    </xf>
    <xf numFmtId="0" fontId="0" fillId="9" borderId="13" xfId="0" applyFill="1" applyBorder="1" applyAlignment="1">
      <alignment wrapText="1"/>
    </xf>
    <xf numFmtId="0" fontId="0" fillId="9" borderId="9" xfId="0" applyFill="1" applyBorder="1" applyAlignment="1">
      <alignment wrapText="1"/>
    </xf>
    <xf numFmtId="0" fontId="0" fillId="10" borderId="1" xfId="0" applyFill="1" applyBorder="1" applyAlignment="1">
      <alignment wrapText="1"/>
    </xf>
    <xf numFmtId="0" fontId="29" fillId="11" borderId="1" xfId="0" applyFont="1" applyFill="1" applyBorder="1" applyAlignment="1">
      <alignment wrapText="1"/>
    </xf>
    <xf numFmtId="0" fontId="3" fillId="0" borderId="13" xfId="0" applyFont="1" applyBorder="1" applyAlignment="1">
      <alignment wrapText="1"/>
    </xf>
    <xf numFmtId="0" fontId="3" fillId="0" borderId="9" xfId="0" applyFont="1" applyBorder="1" applyAlignment="1">
      <alignment wrapText="1"/>
    </xf>
    <xf numFmtId="0" fontId="3" fillId="0" borderId="13" xfId="0" applyFont="1" applyBorder="1"/>
    <xf numFmtId="0" fontId="3" fillId="0" borderId="12" xfId="0" applyFont="1" applyBorder="1"/>
    <xf numFmtId="0" fontId="3" fillId="0" borderId="51" xfId="0" applyFont="1" applyBorder="1"/>
    <xf numFmtId="0" fontId="32" fillId="0" borderId="15" xfId="0" applyFont="1" applyBorder="1" applyAlignment="1">
      <alignment wrapText="1" shrinkToFit="1"/>
    </xf>
    <xf numFmtId="0" fontId="32" fillId="0" borderId="25" xfId="0" applyFont="1" applyBorder="1" applyAlignment="1">
      <alignment wrapText="1" shrinkToFit="1"/>
    </xf>
    <xf numFmtId="0" fontId="30" fillId="0" borderId="13" xfId="0" applyFont="1" applyBorder="1"/>
    <xf numFmtId="0" fontId="30" fillId="0" borderId="51" xfId="0" applyFont="1" applyBorder="1"/>
    <xf numFmtId="0" fontId="0" fillId="0" borderId="27" xfId="0" applyBorder="1" applyAlignment="1">
      <alignment horizontal="left" vertical="top" wrapText="1" shrinkToFit="1"/>
    </xf>
    <xf numFmtId="0" fontId="0" fillId="0" borderId="44" xfId="0" applyBorder="1" applyAlignment="1">
      <alignment horizontal="left" vertical="top" wrapText="1" shrinkToFit="1"/>
    </xf>
    <xf numFmtId="0" fontId="0" fillId="0" borderId="45" xfId="0" applyBorder="1" applyAlignment="1">
      <alignment horizontal="left" vertical="top" wrapText="1" shrinkToFit="1"/>
    </xf>
    <xf numFmtId="0" fontId="0" fillId="0" borderId="46" xfId="0" applyBorder="1" applyAlignment="1">
      <alignment horizontal="left" vertical="top" wrapText="1" shrinkToFit="1"/>
    </xf>
    <xf numFmtId="0" fontId="40" fillId="0" borderId="22" xfId="0" applyFont="1" applyBorder="1"/>
    <xf numFmtId="0" fontId="0" fillId="0" borderId="22" xfId="0" applyBorder="1"/>
    <xf numFmtId="0" fontId="0" fillId="0" borderId="54" xfId="0" applyBorder="1"/>
    <xf numFmtId="0" fontId="9" fillId="5" borderId="55" xfId="0" applyFont="1" applyFill="1" applyBorder="1"/>
    <xf numFmtId="0" fontId="0" fillId="0" borderId="14" xfId="0" applyBorder="1"/>
    <xf numFmtId="0" fontId="0" fillId="0" borderId="53" xfId="0" applyBorder="1"/>
    <xf numFmtId="0" fontId="9" fillId="5" borderId="31" xfId="0" applyFont="1" applyFill="1" applyBorder="1"/>
    <xf numFmtId="0" fontId="0" fillId="0" borderId="12" xfId="0" applyBorder="1"/>
    <xf numFmtId="0" fontId="30" fillId="0" borderId="52" xfId="0" applyFont="1" applyBorder="1" applyAlignment="1">
      <alignment horizontal="left"/>
    </xf>
    <xf numFmtId="0" fontId="30" fillId="0" borderId="53" xfId="0" applyFont="1" applyBorder="1" applyAlignment="1">
      <alignment horizontal="left"/>
    </xf>
    <xf numFmtId="0" fontId="45" fillId="0" borderId="19" xfId="0" applyFont="1" applyBorder="1" applyAlignment="1">
      <alignment horizontal="left" vertical="top" wrapText="1"/>
    </xf>
    <xf numFmtId="0" fontId="3" fillId="0" borderId="0" xfId="0" applyFont="1" applyAlignment="1">
      <alignment horizontal="left" vertical="top" wrapText="1"/>
    </xf>
    <xf numFmtId="0" fontId="3" fillId="0" borderId="7" xfId="0" applyFont="1" applyBorder="1" applyAlignment="1">
      <alignment horizontal="left" vertical="top" wrapText="1"/>
    </xf>
    <xf numFmtId="0" fontId="3" fillId="0" borderId="44" xfId="0" applyFont="1" applyBorder="1" applyAlignment="1">
      <alignment horizontal="left" vertical="top" wrapText="1"/>
    </xf>
    <xf numFmtId="0" fontId="3" fillId="0" borderId="45" xfId="0" applyFont="1" applyBorder="1" applyAlignment="1">
      <alignment horizontal="left" vertical="top" wrapText="1"/>
    </xf>
    <xf numFmtId="0" fontId="3" fillId="0" borderId="46" xfId="0" applyFont="1" applyBorder="1" applyAlignment="1">
      <alignment horizontal="left" vertical="top" wrapText="1"/>
    </xf>
    <xf numFmtId="0" fontId="3" fillId="5" borderId="48" xfId="0" applyFont="1" applyFill="1" applyBorder="1"/>
    <xf numFmtId="0" fontId="3" fillId="5" borderId="10" xfId="0" applyFont="1" applyFill="1" applyBorder="1"/>
    <xf numFmtId="0" fontId="3" fillId="5" borderId="28" xfId="0" applyFont="1" applyFill="1" applyBorder="1"/>
    <xf numFmtId="0" fontId="3" fillId="0" borderId="43" xfId="0" applyFont="1" applyBorder="1"/>
    <xf numFmtId="0" fontId="13" fillId="0" borderId="56" xfId="0" applyFont="1" applyBorder="1" applyAlignment="1">
      <alignment horizontal="center" vertical="center" wrapText="1"/>
    </xf>
    <xf numFmtId="0" fontId="13" fillId="0" borderId="57" xfId="0" applyFont="1" applyBorder="1" applyAlignment="1">
      <alignment horizontal="center" vertical="center" wrapText="1"/>
    </xf>
    <xf numFmtId="0" fontId="13" fillId="0" borderId="58" xfId="0" applyFont="1" applyBorder="1" applyAlignment="1">
      <alignment horizontal="center" vertical="center" wrapText="1"/>
    </xf>
    <xf numFmtId="0" fontId="11" fillId="0" borderId="56" xfId="0" applyFont="1" applyBorder="1" applyAlignment="1">
      <alignment vertical="center" wrapText="1"/>
    </xf>
    <xf numFmtId="0" fontId="11" fillId="0" borderId="57" xfId="0" applyFont="1" applyBorder="1" applyAlignment="1">
      <alignment vertical="center" wrapText="1"/>
    </xf>
    <xf numFmtId="0" fontId="11" fillId="0" borderId="58" xfId="0" applyFont="1" applyBorder="1" applyAlignment="1">
      <alignment vertical="center" wrapText="1"/>
    </xf>
    <xf numFmtId="0" fontId="9" fillId="0" borderId="48" xfId="0" applyFont="1" applyBorder="1" applyAlignment="1">
      <alignment vertical="top"/>
    </xf>
    <xf numFmtId="0" fontId="0" fillId="0" borderId="10" xfId="0" applyBorder="1" applyAlignment="1">
      <alignment vertical="top"/>
    </xf>
    <xf numFmtId="0" fontId="0" fillId="0" borderId="43" xfId="0" applyBorder="1" applyAlignment="1">
      <alignment vertical="top"/>
    </xf>
    <xf numFmtId="0" fontId="0" fillId="0" borderId="4" xfId="0" applyBorder="1" applyAlignment="1">
      <alignment vertical="top"/>
    </xf>
    <xf numFmtId="0" fontId="0" fillId="0" borderId="0" xfId="0" applyAlignment="1">
      <alignment vertical="top"/>
    </xf>
    <xf numFmtId="0" fontId="0" fillId="0" borderId="35" xfId="0" applyBorder="1" applyAlignment="1">
      <alignment vertical="top"/>
    </xf>
    <xf numFmtId="0" fontId="0" fillId="0" borderId="50" xfId="0" applyBorder="1" applyAlignment="1">
      <alignment vertical="top"/>
    </xf>
    <xf numFmtId="0" fontId="0" fillId="0" borderId="45" xfId="0" applyBorder="1" applyAlignment="1">
      <alignment vertical="top"/>
    </xf>
    <xf numFmtId="0" fontId="0" fillId="0" borderId="47" xfId="0" applyBorder="1" applyAlignment="1">
      <alignment vertical="top"/>
    </xf>
    <xf numFmtId="0" fontId="46" fillId="0" borderId="66" xfId="0" applyFont="1" applyBorder="1" applyAlignment="1">
      <alignment vertical="center" wrapText="1"/>
    </xf>
    <xf numFmtId="0" fontId="46" fillId="0" borderId="67" xfId="0" applyFont="1" applyBorder="1" applyAlignment="1">
      <alignment vertical="center" wrapText="1"/>
    </xf>
    <xf numFmtId="0" fontId="9" fillId="0" borderId="1" xfId="0" applyFont="1" applyBorder="1" applyAlignment="1" applyProtection="1">
      <alignment vertical="top" wrapText="1"/>
      <protection locked="0"/>
    </xf>
    <xf numFmtId="0" fontId="9" fillId="0" borderId="1" xfId="0" applyFont="1" applyBorder="1" applyAlignment="1">
      <alignment vertical="top"/>
    </xf>
    <xf numFmtId="0" fontId="9" fillId="0" borderId="48" xfId="0" applyFont="1" applyBorder="1"/>
    <xf numFmtId="0" fontId="0" fillId="0" borderId="10" xfId="0" applyBorder="1"/>
    <xf numFmtId="0" fontId="0" fillId="0" borderId="4" xfId="0" applyBorder="1"/>
    <xf numFmtId="0" fontId="0" fillId="0" borderId="35" xfId="0" applyBorder="1"/>
    <xf numFmtId="0" fontId="0" fillId="0" borderId="50" xfId="0" applyBorder="1"/>
    <xf numFmtId="0" fontId="0" fillId="0" borderId="45" xfId="0" applyBorder="1"/>
    <xf numFmtId="0" fontId="0" fillId="0" borderId="47" xfId="0" applyBorder="1"/>
  </cellXfs>
  <cellStyles count="6">
    <cellStyle name="Currency" xfId="1" builtinId="4"/>
    <cellStyle name="Good" xfId="2" builtinId="26"/>
    <cellStyle name="Hyperlink" xfId="3" builtinId="8"/>
    <cellStyle name="Neutral" xfId="4" builtinId="28"/>
    <cellStyle name="Normal" xfId="0" builtinId="0"/>
    <cellStyle name="Percent" xfId="5" builtinId="5"/>
  </cellStyles>
  <dxfs count="30">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123825</xdr:colOff>
      <xdr:row>10</xdr:row>
      <xdr:rowOff>142875</xdr:rowOff>
    </xdr:from>
    <xdr:to>
      <xdr:col>14</xdr:col>
      <xdr:colOff>1238250</xdr:colOff>
      <xdr:row>13</xdr:row>
      <xdr:rowOff>152400</xdr:rowOff>
    </xdr:to>
    <xdr:pic>
      <xdr:nvPicPr>
        <xdr:cNvPr id="4226" name="Picture 1" descr="http://www.england.nhs.uk/wp-content/themes/nhsengland/images/nhsengland_logo.png">
          <a:extLst>
            <a:ext uri="{FF2B5EF4-FFF2-40B4-BE49-F238E27FC236}">
              <a16:creationId xmlns:a16="http://schemas.microsoft.com/office/drawing/2014/main" id="{317D92FA-540A-0544-0FC4-ED724C71B7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114425"/>
          <a:ext cx="1114425"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35</xdr:col>
      <xdr:colOff>161925</xdr:colOff>
      <xdr:row>1</xdr:row>
      <xdr:rowOff>123825</xdr:rowOff>
    </xdr:from>
    <xdr:to>
      <xdr:col>36</xdr:col>
      <xdr:colOff>1038225</xdr:colOff>
      <xdr:row>2</xdr:row>
      <xdr:rowOff>428625</xdr:rowOff>
    </xdr:to>
    <xdr:pic>
      <xdr:nvPicPr>
        <xdr:cNvPr id="1162" name="Picture 2" descr="http://www.england.nhs.uk/south/wp-content/themes/nhsengland/images/nhsengland_logo.png">
          <a:extLst>
            <a:ext uri="{FF2B5EF4-FFF2-40B4-BE49-F238E27FC236}">
              <a16:creationId xmlns:a16="http://schemas.microsoft.com/office/drawing/2014/main" id="{49503BD6-CE6C-DCF0-0A2D-B6FA103C80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525375" y="371475"/>
          <a:ext cx="1381125"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tabColor rgb="FF7030A0"/>
  </sheetPr>
  <dimension ref="A1:O47"/>
  <sheetViews>
    <sheetView topLeftCell="A5" zoomScaleNormal="100" workbookViewId="0">
      <selection activeCell="A13" sqref="A13:N44"/>
    </sheetView>
  </sheetViews>
  <sheetFormatPr defaultRowHeight="12.75" x14ac:dyDescent="0.35"/>
  <cols>
    <col min="15" max="15" width="22.1328125" style="173" customWidth="1"/>
  </cols>
  <sheetData>
    <row r="1" spans="1:15" ht="12.6" hidden="1" customHeight="1" x14ac:dyDescent="0.35">
      <c r="A1" s="7" t="s">
        <v>0</v>
      </c>
      <c r="O1" s="173" t="s">
        <v>1</v>
      </c>
    </row>
    <row r="2" spans="1:15" ht="12.6" hidden="1" customHeight="1" x14ac:dyDescent="0.35">
      <c r="A2" s="7" t="s">
        <v>2</v>
      </c>
    </row>
    <row r="3" spans="1:15" ht="12.6" hidden="1" customHeight="1" x14ac:dyDescent="0.35">
      <c r="A3" s="7" t="s">
        <v>3</v>
      </c>
    </row>
    <row r="4" spans="1:15" ht="12.6" hidden="1" customHeight="1" x14ac:dyDescent="0.35">
      <c r="A4" s="7" t="s">
        <v>4</v>
      </c>
    </row>
    <row r="5" spans="1:15" x14ac:dyDescent="0.35">
      <c r="A5" s="174"/>
      <c r="B5" s="173"/>
      <c r="C5" s="173"/>
      <c r="D5" s="173"/>
      <c r="E5" s="173"/>
      <c r="F5" s="173"/>
      <c r="G5" s="173"/>
      <c r="H5" s="173"/>
      <c r="I5" s="173"/>
      <c r="J5" s="173"/>
      <c r="K5" s="173"/>
      <c r="L5" s="173"/>
      <c r="M5" s="173"/>
      <c r="N5" s="173"/>
    </row>
    <row r="6" spans="1:15" x14ac:dyDescent="0.35">
      <c r="A6" s="173"/>
      <c r="B6" s="173"/>
      <c r="C6" s="173"/>
      <c r="D6" s="173"/>
      <c r="E6" s="173"/>
      <c r="F6" s="173"/>
      <c r="G6" s="173"/>
      <c r="H6" s="173"/>
      <c r="I6" s="173"/>
      <c r="J6" s="173"/>
      <c r="K6" s="173"/>
      <c r="L6" s="173"/>
      <c r="M6" s="173"/>
      <c r="N6" s="173"/>
    </row>
    <row r="7" spans="1:15" x14ac:dyDescent="0.35">
      <c r="A7" s="173"/>
      <c r="B7" s="173"/>
      <c r="C7" s="173"/>
      <c r="D7" s="173"/>
      <c r="E7" s="173"/>
      <c r="F7" s="173"/>
      <c r="G7" s="173"/>
      <c r="H7" s="173"/>
      <c r="I7" s="173"/>
      <c r="J7" s="173"/>
      <c r="K7" s="173"/>
      <c r="L7" s="173"/>
      <c r="M7" s="173"/>
      <c r="N7" s="173"/>
    </row>
    <row r="8" spans="1:15" x14ac:dyDescent="0.35">
      <c r="A8" s="173"/>
      <c r="B8" s="173"/>
      <c r="C8" s="173"/>
      <c r="D8" s="173"/>
      <c r="E8" s="173"/>
      <c r="F8" s="173"/>
      <c r="G8" s="173"/>
      <c r="H8" s="173"/>
      <c r="I8" s="173"/>
      <c r="J8" s="173"/>
      <c r="K8" s="173"/>
      <c r="L8" s="173"/>
      <c r="M8" s="173"/>
      <c r="N8" s="173"/>
    </row>
    <row r="9" spans="1:15" x14ac:dyDescent="0.35">
      <c r="A9" s="169" t="s">
        <v>5</v>
      </c>
      <c r="B9" s="170"/>
      <c r="C9" s="170"/>
      <c r="D9" s="170"/>
      <c r="E9" s="170"/>
      <c r="F9" s="170"/>
      <c r="G9" s="170"/>
      <c r="H9" s="170"/>
      <c r="I9" s="170"/>
      <c r="J9" s="170"/>
      <c r="K9" s="170"/>
      <c r="L9" s="170"/>
      <c r="M9" s="170"/>
      <c r="N9" s="170"/>
    </row>
    <row r="10" spans="1:15" x14ac:dyDescent="0.35">
      <c r="A10" s="170"/>
      <c r="B10" s="170"/>
      <c r="C10" s="170"/>
      <c r="D10" s="170"/>
      <c r="E10" s="170"/>
      <c r="F10" s="170"/>
      <c r="G10" s="170"/>
      <c r="H10" s="170"/>
      <c r="I10" s="170"/>
      <c r="J10" s="170"/>
      <c r="K10" s="170"/>
      <c r="L10" s="170"/>
      <c r="M10" s="170"/>
      <c r="N10" s="170"/>
    </row>
    <row r="11" spans="1:15" x14ac:dyDescent="0.35">
      <c r="A11" s="170"/>
      <c r="B11" s="170"/>
      <c r="C11" s="170"/>
      <c r="D11" s="170"/>
      <c r="E11" s="170"/>
      <c r="F11" s="170"/>
      <c r="G11" s="170"/>
      <c r="H11" s="170"/>
      <c r="I11" s="170"/>
      <c r="J11" s="170"/>
      <c r="K11" s="170"/>
      <c r="L11" s="170"/>
      <c r="M11" s="170"/>
      <c r="N11" s="170"/>
    </row>
    <row r="12" spans="1:15" x14ac:dyDescent="0.35">
      <c r="A12" s="170"/>
      <c r="B12" s="170"/>
      <c r="C12" s="170"/>
      <c r="D12" s="170"/>
      <c r="E12" s="170"/>
      <c r="F12" s="170"/>
      <c r="G12" s="170"/>
      <c r="H12" s="170"/>
      <c r="I12" s="170"/>
      <c r="J12" s="170"/>
      <c r="K12" s="170"/>
      <c r="L12" s="170"/>
      <c r="M12" s="170"/>
      <c r="N12" s="170"/>
    </row>
    <row r="13" spans="1:15" x14ac:dyDescent="0.35">
      <c r="A13" s="167" t="s">
        <v>6</v>
      </c>
      <c r="B13" s="168"/>
      <c r="C13" s="168"/>
      <c r="D13" s="168"/>
      <c r="E13" s="168"/>
      <c r="F13" s="168"/>
      <c r="G13" s="168"/>
      <c r="H13" s="168"/>
      <c r="I13" s="168"/>
      <c r="J13" s="168"/>
      <c r="K13" s="168"/>
      <c r="L13" s="168"/>
      <c r="M13" s="168"/>
      <c r="N13" s="168"/>
    </row>
    <row r="14" spans="1:15" x14ac:dyDescent="0.35">
      <c r="A14" s="168"/>
      <c r="B14" s="168"/>
      <c r="C14" s="168"/>
      <c r="D14" s="168"/>
      <c r="E14" s="168"/>
      <c r="F14" s="168"/>
      <c r="G14" s="168"/>
      <c r="H14" s="168"/>
      <c r="I14" s="168"/>
      <c r="J14" s="168"/>
      <c r="K14" s="168"/>
      <c r="L14" s="168"/>
      <c r="M14" s="168"/>
      <c r="N14" s="168"/>
    </row>
    <row r="15" spans="1:15" x14ac:dyDescent="0.35">
      <c r="A15" s="168"/>
      <c r="B15" s="168"/>
      <c r="C15" s="168"/>
      <c r="D15" s="168"/>
      <c r="E15" s="168"/>
      <c r="F15" s="168"/>
      <c r="G15" s="168"/>
      <c r="H15" s="168"/>
      <c r="I15" s="168"/>
      <c r="J15" s="168"/>
      <c r="K15" s="168"/>
      <c r="L15" s="168"/>
      <c r="M15" s="168"/>
      <c r="N15" s="168"/>
    </row>
    <row r="16" spans="1:15" x14ac:dyDescent="0.35">
      <c r="A16" s="168"/>
      <c r="B16" s="168"/>
      <c r="C16" s="168"/>
      <c r="D16" s="168"/>
      <c r="E16" s="168"/>
      <c r="F16" s="168"/>
      <c r="G16" s="168"/>
      <c r="H16" s="168"/>
      <c r="I16" s="168"/>
      <c r="J16" s="168"/>
      <c r="K16" s="168"/>
      <c r="L16" s="168"/>
      <c r="M16" s="168"/>
      <c r="N16" s="168"/>
    </row>
    <row r="17" spans="1:14" x14ac:dyDescent="0.35">
      <c r="A17" s="168"/>
      <c r="B17" s="168"/>
      <c r="C17" s="168"/>
      <c r="D17" s="168"/>
      <c r="E17" s="168"/>
      <c r="F17" s="168"/>
      <c r="G17" s="168"/>
      <c r="H17" s="168"/>
      <c r="I17" s="168"/>
      <c r="J17" s="168"/>
      <c r="K17" s="168"/>
      <c r="L17" s="168"/>
      <c r="M17" s="168"/>
      <c r="N17" s="168"/>
    </row>
    <row r="18" spans="1:14" x14ac:dyDescent="0.35">
      <c r="A18" s="168"/>
      <c r="B18" s="168"/>
      <c r="C18" s="168"/>
      <c r="D18" s="168"/>
      <c r="E18" s="168"/>
      <c r="F18" s="168"/>
      <c r="G18" s="168"/>
      <c r="H18" s="168"/>
      <c r="I18" s="168"/>
      <c r="J18" s="168"/>
      <c r="K18" s="168"/>
      <c r="L18" s="168"/>
      <c r="M18" s="168"/>
      <c r="N18" s="168"/>
    </row>
    <row r="19" spans="1:14" x14ac:dyDescent="0.35">
      <c r="A19" s="168"/>
      <c r="B19" s="168"/>
      <c r="C19" s="168"/>
      <c r="D19" s="168"/>
      <c r="E19" s="168"/>
      <c r="F19" s="168"/>
      <c r="G19" s="168"/>
      <c r="H19" s="168"/>
      <c r="I19" s="168"/>
      <c r="J19" s="168"/>
      <c r="K19" s="168"/>
      <c r="L19" s="168"/>
      <c r="M19" s="168"/>
      <c r="N19" s="168"/>
    </row>
    <row r="20" spans="1:14" x14ac:dyDescent="0.35">
      <c r="A20" s="168"/>
      <c r="B20" s="168"/>
      <c r="C20" s="168"/>
      <c r="D20" s="168"/>
      <c r="E20" s="168"/>
      <c r="F20" s="168"/>
      <c r="G20" s="168"/>
      <c r="H20" s="168"/>
      <c r="I20" s="168"/>
      <c r="J20" s="168"/>
      <c r="K20" s="168"/>
      <c r="L20" s="168"/>
      <c r="M20" s="168"/>
      <c r="N20" s="168"/>
    </row>
    <row r="21" spans="1:14" x14ac:dyDescent="0.35">
      <c r="A21" s="168"/>
      <c r="B21" s="168"/>
      <c r="C21" s="168"/>
      <c r="D21" s="168"/>
      <c r="E21" s="168"/>
      <c r="F21" s="168"/>
      <c r="G21" s="168"/>
      <c r="H21" s="168"/>
      <c r="I21" s="168"/>
      <c r="J21" s="168"/>
      <c r="K21" s="168"/>
      <c r="L21" s="168"/>
      <c r="M21" s="168"/>
      <c r="N21" s="168"/>
    </row>
    <row r="22" spans="1:14" x14ac:dyDescent="0.35">
      <c r="A22" s="168"/>
      <c r="B22" s="168"/>
      <c r="C22" s="168"/>
      <c r="D22" s="168"/>
      <c r="E22" s="168"/>
      <c r="F22" s="168"/>
      <c r="G22" s="168"/>
      <c r="H22" s="168"/>
      <c r="I22" s="168"/>
      <c r="J22" s="168"/>
      <c r="K22" s="168"/>
      <c r="L22" s="168"/>
      <c r="M22" s="168"/>
      <c r="N22" s="168"/>
    </row>
    <row r="23" spans="1:14" x14ac:dyDescent="0.35">
      <c r="A23" s="168"/>
      <c r="B23" s="168"/>
      <c r="C23" s="168"/>
      <c r="D23" s="168"/>
      <c r="E23" s="168"/>
      <c r="F23" s="168"/>
      <c r="G23" s="168"/>
      <c r="H23" s="168"/>
      <c r="I23" s="168"/>
      <c r="J23" s="168"/>
      <c r="K23" s="168"/>
      <c r="L23" s="168"/>
      <c r="M23" s="168"/>
      <c r="N23" s="168"/>
    </row>
    <row r="24" spans="1:14" x14ac:dyDescent="0.35">
      <c r="A24" s="168"/>
      <c r="B24" s="168"/>
      <c r="C24" s="168"/>
      <c r="D24" s="168"/>
      <c r="E24" s="168"/>
      <c r="F24" s="168"/>
      <c r="G24" s="168"/>
      <c r="H24" s="168"/>
      <c r="I24" s="168"/>
      <c r="J24" s="168"/>
      <c r="K24" s="168"/>
      <c r="L24" s="168"/>
      <c r="M24" s="168"/>
      <c r="N24" s="168"/>
    </row>
    <row r="25" spans="1:14" x14ac:dyDescent="0.35">
      <c r="A25" s="168"/>
      <c r="B25" s="168"/>
      <c r="C25" s="168"/>
      <c r="D25" s="168"/>
      <c r="E25" s="168"/>
      <c r="F25" s="168"/>
      <c r="G25" s="168"/>
      <c r="H25" s="168"/>
      <c r="I25" s="168"/>
      <c r="J25" s="168"/>
      <c r="K25" s="168"/>
      <c r="L25" s="168"/>
      <c r="M25" s="168"/>
      <c r="N25" s="168"/>
    </row>
    <row r="26" spans="1:14" x14ac:dyDescent="0.35">
      <c r="A26" s="168"/>
      <c r="B26" s="168"/>
      <c r="C26" s="168"/>
      <c r="D26" s="168"/>
      <c r="E26" s="168"/>
      <c r="F26" s="168"/>
      <c r="G26" s="168"/>
      <c r="H26" s="168"/>
      <c r="I26" s="168"/>
      <c r="J26" s="168"/>
      <c r="K26" s="168"/>
      <c r="L26" s="168"/>
      <c r="M26" s="168"/>
      <c r="N26" s="168"/>
    </row>
    <row r="27" spans="1:14" x14ac:dyDescent="0.35">
      <c r="A27" s="168"/>
      <c r="B27" s="168"/>
      <c r="C27" s="168"/>
      <c r="D27" s="168"/>
      <c r="E27" s="168"/>
      <c r="F27" s="168"/>
      <c r="G27" s="168"/>
      <c r="H27" s="168"/>
      <c r="I27" s="168"/>
      <c r="J27" s="168"/>
      <c r="K27" s="168"/>
      <c r="L27" s="168"/>
      <c r="M27" s="168"/>
      <c r="N27" s="168"/>
    </row>
    <row r="28" spans="1:14" x14ac:dyDescent="0.35">
      <c r="A28" s="168"/>
      <c r="B28" s="168"/>
      <c r="C28" s="168"/>
      <c r="D28" s="168"/>
      <c r="E28" s="168"/>
      <c r="F28" s="168"/>
      <c r="G28" s="168"/>
      <c r="H28" s="168"/>
      <c r="I28" s="168"/>
      <c r="J28" s="168"/>
      <c r="K28" s="168"/>
      <c r="L28" s="168"/>
      <c r="M28" s="168"/>
      <c r="N28" s="168"/>
    </row>
    <row r="29" spans="1:14" x14ac:dyDescent="0.35">
      <c r="A29" s="168"/>
      <c r="B29" s="168"/>
      <c r="C29" s="168"/>
      <c r="D29" s="168"/>
      <c r="E29" s="168"/>
      <c r="F29" s="168"/>
      <c r="G29" s="168"/>
      <c r="H29" s="168"/>
      <c r="I29" s="168"/>
      <c r="J29" s="168"/>
      <c r="K29" s="168"/>
      <c r="L29" s="168"/>
      <c r="M29" s="168"/>
      <c r="N29" s="168"/>
    </row>
    <row r="30" spans="1:14" x14ac:dyDescent="0.35">
      <c r="A30" s="168"/>
      <c r="B30" s="168"/>
      <c r="C30" s="168"/>
      <c r="D30" s="168"/>
      <c r="E30" s="168"/>
      <c r="F30" s="168"/>
      <c r="G30" s="168"/>
      <c r="H30" s="168"/>
      <c r="I30" s="168"/>
      <c r="J30" s="168"/>
      <c r="K30" s="168"/>
      <c r="L30" s="168"/>
      <c r="M30" s="168"/>
      <c r="N30" s="168"/>
    </row>
    <row r="31" spans="1:14" x14ac:dyDescent="0.35">
      <c r="A31" s="168"/>
      <c r="B31" s="168"/>
      <c r="C31" s="168"/>
      <c r="D31" s="168"/>
      <c r="E31" s="168"/>
      <c r="F31" s="168"/>
      <c r="G31" s="168"/>
      <c r="H31" s="168"/>
      <c r="I31" s="168"/>
      <c r="J31" s="168"/>
      <c r="K31" s="168"/>
      <c r="L31" s="168"/>
      <c r="M31" s="168"/>
      <c r="N31" s="168"/>
    </row>
    <row r="32" spans="1:14" x14ac:dyDescent="0.35">
      <c r="A32" s="168"/>
      <c r="B32" s="168"/>
      <c r="C32" s="168"/>
      <c r="D32" s="168"/>
      <c r="E32" s="168"/>
      <c r="F32" s="168"/>
      <c r="G32" s="168"/>
      <c r="H32" s="168"/>
      <c r="I32" s="168"/>
      <c r="J32" s="168"/>
      <c r="K32" s="168"/>
      <c r="L32" s="168"/>
      <c r="M32" s="168"/>
      <c r="N32" s="168"/>
    </row>
    <row r="33" spans="1:14" x14ac:dyDescent="0.35">
      <c r="A33" s="168"/>
      <c r="B33" s="168"/>
      <c r="C33" s="168"/>
      <c r="D33" s="168"/>
      <c r="E33" s="168"/>
      <c r="F33" s="168"/>
      <c r="G33" s="168"/>
      <c r="H33" s="168"/>
      <c r="I33" s="168"/>
      <c r="J33" s="168"/>
      <c r="K33" s="168"/>
      <c r="L33" s="168"/>
      <c r="M33" s="168"/>
      <c r="N33" s="168"/>
    </row>
    <row r="34" spans="1:14" x14ac:dyDescent="0.35">
      <c r="A34" s="168"/>
      <c r="B34" s="168"/>
      <c r="C34" s="168"/>
      <c r="D34" s="168"/>
      <c r="E34" s="168"/>
      <c r="F34" s="168"/>
      <c r="G34" s="168"/>
      <c r="H34" s="168"/>
      <c r="I34" s="168"/>
      <c r="J34" s="168"/>
      <c r="K34" s="168"/>
      <c r="L34" s="168"/>
      <c r="M34" s="168"/>
      <c r="N34" s="168"/>
    </row>
    <row r="35" spans="1:14" x14ac:dyDescent="0.35">
      <c r="A35" s="168"/>
      <c r="B35" s="168"/>
      <c r="C35" s="168"/>
      <c r="D35" s="168"/>
      <c r="E35" s="168"/>
      <c r="F35" s="168"/>
      <c r="G35" s="168"/>
      <c r="H35" s="168"/>
      <c r="I35" s="168"/>
      <c r="J35" s="168"/>
      <c r="K35" s="168"/>
      <c r="L35" s="168"/>
      <c r="M35" s="168"/>
      <c r="N35" s="168"/>
    </row>
    <row r="36" spans="1:14" x14ac:dyDescent="0.35">
      <c r="A36" s="168"/>
      <c r="B36" s="168"/>
      <c r="C36" s="168"/>
      <c r="D36" s="168"/>
      <c r="E36" s="168"/>
      <c r="F36" s="168"/>
      <c r="G36" s="168"/>
      <c r="H36" s="168"/>
      <c r="I36" s="168"/>
      <c r="J36" s="168"/>
      <c r="K36" s="168"/>
      <c r="L36" s="168"/>
      <c r="M36" s="168"/>
      <c r="N36" s="168"/>
    </row>
    <row r="37" spans="1:14" x14ac:dyDescent="0.35">
      <c r="A37" s="168"/>
      <c r="B37" s="168"/>
      <c r="C37" s="168"/>
      <c r="D37" s="168"/>
      <c r="E37" s="168"/>
      <c r="F37" s="168"/>
      <c r="G37" s="168"/>
      <c r="H37" s="168"/>
      <c r="I37" s="168"/>
      <c r="J37" s="168"/>
      <c r="K37" s="168"/>
      <c r="L37" s="168"/>
      <c r="M37" s="168"/>
      <c r="N37" s="168"/>
    </row>
    <row r="38" spans="1:14" x14ac:dyDescent="0.35">
      <c r="A38" s="168"/>
      <c r="B38" s="168"/>
      <c r="C38" s="168"/>
      <c r="D38" s="168"/>
      <c r="E38" s="168"/>
      <c r="F38" s="168"/>
      <c r="G38" s="168"/>
      <c r="H38" s="168"/>
      <c r="I38" s="168"/>
      <c r="J38" s="168"/>
      <c r="K38" s="168"/>
      <c r="L38" s="168"/>
      <c r="M38" s="168"/>
      <c r="N38" s="168"/>
    </row>
    <row r="39" spans="1:14" x14ac:dyDescent="0.35">
      <c r="A39" s="168"/>
      <c r="B39" s="168"/>
      <c r="C39" s="168"/>
      <c r="D39" s="168"/>
      <c r="E39" s="168"/>
      <c r="F39" s="168"/>
      <c r="G39" s="168"/>
      <c r="H39" s="168"/>
      <c r="I39" s="168"/>
      <c r="J39" s="168"/>
      <c r="K39" s="168"/>
      <c r="L39" s="168"/>
      <c r="M39" s="168"/>
      <c r="N39" s="168"/>
    </row>
    <row r="40" spans="1:14" x14ac:dyDescent="0.35">
      <c r="A40" s="168"/>
      <c r="B40" s="168"/>
      <c r="C40" s="168"/>
      <c r="D40" s="168"/>
      <c r="E40" s="168"/>
      <c r="F40" s="168"/>
      <c r="G40" s="168"/>
      <c r="H40" s="168"/>
      <c r="I40" s="168"/>
      <c r="J40" s="168"/>
      <c r="K40" s="168"/>
      <c r="L40" s="168"/>
      <c r="M40" s="168"/>
      <c r="N40" s="168"/>
    </row>
    <row r="41" spans="1:14" x14ac:dyDescent="0.35">
      <c r="A41" s="168"/>
      <c r="B41" s="168"/>
      <c r="C41" s="168"/>
      <c r="D41" s="168"/>
      <c r="E41" s="168"/>
      <c r="F41" s="168"/>
      <c r="G41" s="168"/>
      <c r="H41" s="168"/>
      <c r="I41" s="168"/>
      <c r="J41" s="168"/>
      <c r="K41" s="168"/>
      <c r="L41" s="168"/>
      <c r="M41" s="168"/>
      <c r="N41" s="168"/>
    </row>
    <row r="42" spans="1:14" x14ac:dyDescent="0.35">
      <c r="A42" s="168"/>
      <c r="B42" s="168"/>
      <c r="C42" s="168"/>
      <c r="D42" s="168"/>
      <c r="E42" s="168"/>
      <c r="F42" s="168"/>
      <c r="G42" s="168"/>
      <c r="H42" s="168"/>
      <c r="I42" s="168"/>
      <c r="J42" s="168"/>
      <c r="K42" s="168"/>
      <c r="L42" s="168"/>
      <c r="M42" s="168"/>
      <c r="N42" s="168"/>
    </row>
    <row r="43" spans="1:14" x14ac:dyDescent="0.35">
      <c r="A43" s="168"/>
      <c r="B43" s="168"/>
      <c r="C43" s="168"/>
      <c r="D43" s="168"/>
      <c r="E43" s="168"/>
      <c r="F43" s="168"/>
      <c r="G43" s="168"/>
      <c r="H43" s="168"/>
      <c r="I43" s="168"/>
      <c r="J43" s="168"/>
      <c r="K43" s="168"/>
      <c r="L43" s="168"/>
      <c r="M43" s="168"/>
      <c r="N43" s="168"/>
    </row>
    <row r="44" spans="1:14" x14ac:dyDescent="0.35">
      <c r="A44" s="168"/>
      <c r="B44" s="168"/>
      <c r="C44" s="168"/>
      <c r="D44" s="168"/>
      <c r="E44" s="168"/>
      <c r="F44" s="168"/>
      <c r="G44" s="168"/>
      <c r="H44" s="168"/>
      <c r="I44" s="168"/>
      <c r="J44" s="168"/>
      <c r="K44" s="168"/>
      <c r="L44" s="168"/>
      <c r="M44" s="168"/>
      <c r="N44" s="168"/>
    </row>
    <row r="45" spans="1:14" x14ac:dyDescent="0.35">
      <c r="A45" s="171" t="s">
        <v>7</v>
      </c>
      <c r="B45" s="172"/>
      <c r="C45" s="172"/>
      <c r="D45" s="172"/>
      <c r="E45" s="172"/>
      <c r="F45" s="172"/>
      <c r="G45" s="172"/>
      <c r="H45" s="172"/>
      <c r="I45" s="172"/>
      <c r="J45" s="172"/>
      <c r="K45" s="172"/>
      <c r="L45" s="172"/>
      <c r="M45" s="172"/>
      <c r="N45" s="172"/>
    </row>
    <row r="46" spans="1:14" x14ac:dyDescent="0.35">
      <c r="A46" s="172"/>
      <c r="B46" s="172"/>
      <c r="C46" s="172"/>
      <c r="D46" s="172"/>
      <c r="E46" s="172"/>
      <c r="F46" s="172"/>
      <c r="G46" s="172"/>
      <c r="H46" s="172"/>
      <c r="I46" s="172"/>
      <c r="J46" s="172"/>
      <c r="K46" s="172"/>
      <c r="L46" s="172"/>
      <c r="M46" s="172"/>
      <c r="N46" s="172"/>
    </row>
    <row r="47" spans="1:14" x14ac:dyDescent="0.35">
      <c r="A47" s="172"/>
      <c r="B47" s="172"/>
      <c r="C47" s="172"/>
      <c r="D47" s="172"/>
      <c r="E47" s="172"/>
      <c r="F47" s="172"/>
      <c r="G47" s="172"/>
      <c r="H47" s="172"/>
      <c r="I47" s="172"/>
      <c r="J47" s="172"/>
      <c r="K47" s="172"/>
      <c r="L47" s="172"/>
      <c r="M47" s="172"/>
      <c r="N47" s="172"/>
    </row>
  </sheetData>
  <mergeCells count="6">
    <mergeCell ref="A13:N44"/>
    <mergeCell ref="A9:N12"/>
    <mergeCell ref="A45:N46"/>
    <mergeCell ref="A47:N47"/>
    <mergeCell ref="O1:O1048576"/>
    <mergeCell ref="A5:N8"/>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7030A0"/>
    <pageSetUpPr fitToPage="1"/>
  </sheetPr>
  <dimension ref="A1:AT32"/>
  <sheetViews>
    <sheetView showGridLines="0" tabSelected="1" zoomScaleNormal="100" workbookViewId="0">
      <pane ySplit="5" topLeftCell="A6" activePane="bottomLeft" state="frozen"/>
      <selection pane="bottomLeft" activeCell="A17" sqref="A17:AK17"/>
    </sheetView>
  </sheetViews>
  <sheetFormatPr defaultColWidth="0" defaultRowHeight="0" customHeight="1" zeroHeight="1" x14ac:dyDescent="0.4"/>
  <cols>
    <col min="1" max="1" width="58.1328125" style="17" customWidth="1"/>
    <col min="2" max="2" width="5.3984375" style="5" customWidth="1"/>
    <col min="3" max="31" width="3.86328125" style="2" customWidth="1"/>
    <col min="32" max="32" width="4.3984375" style="2" customWidth="1"/>
    <col min="33" max="33" width="5" style="2" hidden="1" customWidth="1"/>
    <col min="34" max="34" width="0.59765625" style="2" hidden="1" customWidth="1"/>
    <col min="35" max="35" width="5.59765625" style="2" customWidth="1"/>
    <col min="36" max="36" width="7.59765625" style="2" customWidth="1"/>
    <col min="37" max="37" width="18.59765625" style="11" customWidth="1"/>
    <col min="38" max="38" width="4.59765625" style="11" customWidth="1"/>
    <col min="39" max="39" width="14.3984375" style="7" hidden="1" customWidth="1"/>
    <col min="40" max="40" width="16.1328125" style="7" hidden="1" customWidth="1"/>
    <col min="41" max="46" width="9.1328125" style="7" hidden="1" customWidth="1"/>
    <col min="47" max="16384" width="9.1328125" style="3" hidden="1"/>
  </cols>
  <sheetData>
    <row r="1" spans="1:46" ht="19.5" customHeight="1" x14ac:dyDescent="0.35">
      <c r="A1" s="86" t="s">
        <v>8</v>
      </c>
      <c r="B1" s="195" t="s">
        <v>9</v>
      </c>
      <c r="C1" s="196"/>
      <c r="D1" s="181"/>
      <c r="E1" s="182"/>
      <c r="F1" s="182"/>
      <c r="G1" s="85" t="s">
        <v>10</v>
      </c>
      <c r="H1" s="61"/>
      <c r="I1" s="207"/>
      <c r="J1" s="208"/>
      <c r="K1" s="208"/>
      <c r="L1" s="208"/>
      <c r="M1" s="208"/>
      <c r="N1" s="87" t="s">
        <v>1</v>
      </c>
      <c r="O1" s="203"/>
      <c r="P1" s="204"/>
      <c r="Q1" s="204"/>
      <c r="R1" s="209"/>
      <c r="S1" s="209"/>
      <c r="T1" s="209"/>
      <c r="U1" s="209"/>
      <c r="V1" s="209"/>
      <c r="W1" s="205" t="s">
        <v>11</v>
      </c>
      <c r="X1" s="206"/>
      <c r="Y1" s="206"/>
      <c r="Z1" s="206"/>
      <c r="AA1" s="200"/>
      <c r="AB1" s="201"/>
      <c r="AC1" s="202"/>
      <c r="AD1" s="87"/>
      <c r="AE1" s="87"/>
      <c r="AF1" s="87"/>
      <c r="AG1" s="87"/>
      <c r="AH1" s="87"/>
      <c r="AI1" s="87"/>
      <c r="AJ1" s="62"/>
      <c r="AK1" s="63"/>
      <c r="AL1" s="77"/>
    </row>
    <row r="2" spans="1:46" ht="44.25" customHeight="1" thickBot="1" x14ac:dyDescent="0.4">
      <c r="A2" s="210" t="s">
        <v>12</v>
      </c>
      <c r="B2" s="211"/>
      <c r="C2" s="140"/>
      <c r="D2" s="44"/>
      <c r="E2" s="138"/>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222"/>
      <c r="AH2" s="12"/>
      <c r="AI2" s="45"/>
      <c r="AJ2" s="144"/>
      <c r="AK2"/>
      <c r="AL2" s="78"/>
    </row>
    <row r="3" spans="1:46" ht="44.25" customHeight="1" thickBot="1" x14ac:dyDescent="0.4">
      <c r="A3" s="213" t="s">
        <v>13</v>
      </c>
      <c r="B3" s="214"/>
      <c r="C3" s="134"/>
      <c r="D3" s="139"/>
      <c r="E3" s="139"/>
      <c r="F3" s="139"/>
      <c r="G3" s="139"/>
      <c r="H3" s="139"/>
      <c r="I3" s="139"/>
      <c r="J3" s="139"/>
      <c r="K3" s="139"/>
      <c r="L3" s="139"/>
      <c r="M3" s="139"/>
      <c r="N3" s="139"/>
      <c r="O3" s="139"/>
      <c r="P3" s="139"/>
      <c r="Q3" s="139"/>
      <c r="R3" s="139"/>
      <c r="S3" s="139"/>
      <c r="T3" s="139"/>
      <c r="U3" s="139"/>
      <c r="V3" s="139"/>
      <c r="W3" s="139"/>
      <c r="X3" s="139"/>
      <c r="Y3" s="139"/>
      <c r="Z3" s="139"/>
      <c r="AA3" s="139"/>
      <c r="AB3" s="139"/>
      <c r="AC3" s="139"/>
      <c r="AD3" s="139"/>
      <c r="AE3" s="139"/>
      <c r="AF3" s="139"/>
      <c r="AG3" s="223"/>
      <c r="AH3" s="13"/>
      <c r="AI3" s="141"/>
      <c r="AJ3" s="18"/>
      <c r="AK3" s="143"/>
      <c r="AL3" s="78"/>
    </row>
    <row r="4" spans="1:46" ht="17.100000000000001" customHeight="1" thickBot="1" x14ac:dyDescent="0.45">
      <c r="A4" s="213" t="s">
        <v>14</v>
      </c>
      <c r="B4" s="215"/>
      <c r="C4" s="42" t="s">
        <v>15</v>
      </c>
      <c r="D4" s="42" t="s">
        <v>16</v>
      </c>
      <c r="E4" s="42" t="s">
        <v>17</v>
      </c>
      <c r="F4" s="42" t="s">
        <v>18</v>
      </c>
      <c r="G4" s="42">
        <v>5</v>
      </c>
      <c r="H4" s="42" t="s">
        <v>19</v>
      </c>
      <c r="I4" s="42" t="s">
        <v>20</v>
      </c>
      <c r="J4" s="42" t="s">
        <v>21</v>
      </c>
      <c r="K4" s="42" t="s">
        <v>22</v>
      </c>
      <c r="L4" s="42" t="s">
        <v>23</v>
      </c>
      <c r="M4" s="42" t="s">
        <v>24</v>
      </c>
      <c r="N4" s="42" t="s">
        <v>25</v>
      </c>
      <c r="O4" s="42" t="s">
        <v>26</v>
      </c>
      <c r="P4" s="42" t="s">
        <v>27</v>
      </c>
      <c r="Q4" s="42" t="s">
        <v>28</v>
      </c>
      <c r="R4" s="42" t="s">
        <v>29</v>
      </c>
      <c r="S4" s="42" t="s">
        <v>30</v>
      </c>
      <c r="T4" s="42" t="s">
        <v>31</v>
      </c>
      <c r="U4" s="43" t="s">
        <v>32</v>
      </c>
      <c r="V4" s="135">
        <v>20</v>
      </c>
      <c r="W4" s="136">
        <v>21</v>
      </c>
      <c r="X4" s="136">
        <v>22</v>
      </c>
      <c r="Y4" s="136">
        <v>23</v>
      </c>
      <c r="Z4" s="136">
        <v>24</v>
      </c>
      <c r="AA4" s="136">
        <v>25</v>
      </c>
      <c r="AB4" s="64">
        <v>26</v>
      </c>
      <c r="AC4" s="137">
        <v>27</v>
      </c>
      <c r="AD4" s="137">
        <v>28</v>
      </c>
      <c r="AE4" s="137">
        <v>29</v>
      </c>
      <c r="AF4" s="136">
        <v>30</v>
      </c>
      <c r="AG4" s="223"/>
      <c r="AH4" s="13"/>
      <c r="AI4" s="41"/>
      <c r="AJ4" s="18"/>
      <c r="AK4" s="143"/>
      <c r="AL4" s="78"/>
      <c r="AM4" s="212" t="s">
        <v>33</v>
      </c>
      <c r="AN4" s="212"/>
      <c r="AO4" s="10"/>
    </row>
    <row r="5" spans="1:46" s="2" customFormat="1" ht="17.100000000000001" customHeight="1" x14ac:dyDescent="0.35">
      <c r="A5" s="177" t="s">
        <v>34</v>
      </c>
      <c r="B5" s="178"/>
      <c r="C5" s="55"/>
      <c r="D5" s="55"/>
      <c r="E5" s="55"/>
      <c r="F5" s="55"/>
      <c r="G5" s="65"/>
      <c r="H5" s="55"/>
      <c r="I5" s="55"/>
      <c r="J5" s="55"/>
      <c r="K5" s="55"/>
      <c r="L5" s="55"/>
      <c r="M5" s="55"/>
      <c r="N5" s="55"/>
      <c r="O5" s="55"/>
      <c r="P5" s="55"/>
      <c r="Q5" s="55"/>
      <c r="R5" s="55"/>
      <c r="S5" s="55"/>
      <c r="T5" s="55"/>
      <c r="U5" s="55"/>
      <c r="V5" s="55"/>
      <c r="W5" s="55"/>
      <c r="X5" s="55"/>
      <c r="Y5" s="55"/>
      <c r="Z5" s="55"/>
      <c r="AA5" s="55"/>
      <c r="AB5" s="55"/>
      <c r="AC5" s="55"/>
      <c r="AD5" s="55"/>
      <c r="AE5" s="55"/>
      <c r="AF5" s="55"/>
      <c r="AG5" s="223"/>
      <c r="AH5" s="13"/>
      <c r="AI5" s="59" t="s">
        <v>35</v>
      </c>
      <c r="AJ5" s="60" t="s">
        <v>36</v>
      </c>
      <c r="AK5" s="143"/>
      <c r="AL5" s="78"/>
      <c r="AM5" s="10" t="s">
        <v>37</v>
      </c>
      <c r="AN5" s="10" t="s">
        <v>38</v>
      </c>
      <c r="AO5" s="10"/>
      <c r="AP5" s="10" t="s">
        <v>39</v>
      </c>
      <c r="AQ5" s="10" t="s">
        <v>40</v>
      </c>
      <c r="AR5" s="10" t="s">
        <v>41</v>
      </c>
      <c r="AS5" s="10"/>
      <c r="AT5" s="10"/>
    </row>
    <row r="6" spans="1:46" s="2" customFormat="1" ht="17.100000000000001" customHeight="1" x14ac:dyDescent="0.35">
      <c r="A6" s="216" t="s">
        <v>42</v>
      </c>
      <c r="B6" s="217"/>
      <c r="C6" s="217"/>
      <c r="D6" s="217"/>
      <c r="E6" s="217"/>
      <c r="F6" s="217"/>
      <c r="G6" s="217"/>
      <c r="H6" s="217"/>
      <c r="I6" s="217"/>
      <c r="J6" s="217"/>
      <c r="K6" s="217"/>
      <c r="L6" s="217"/>
      <c r="M6" s="217"/>
      <c r="N6" s="217"/>
      <c r="O6" s="217"/>
      <c r="P6" s="217"/>
      <c r="Q6" s="217"/>
      <c r="R6" s="217"/>
      <c r="S6" s="217"/>
      <c r="T6" s="217"/>
      <c r="U6" s="217"/>
      <c r="V6" s="217"/>
      <c r="W6" s="217"/>
      <c r="X6" s="217"/>
      <c r="Y6" s="217"/>
      <c r="Z6" s="217"/>
      <c r="AA6" s="217"/>
      <c r="AB6" s="217"/>
      <c r="AC6" s="217"/>
      <c r="AD6" s="217"/>
      <c r="AE6" s="217"/>
      <c r="AF6" s="217"/>
      <c r="AG6" s="217"/>
      <c r="AH6" s="217"/>
      <c r="AI6" s="217"/>
      <c r="AJ6" s="217"/>
      <c r="AK6" s="218"/>
      <c r="AL6" s="79"/>
      <c r="AM6" s="10"/>
      <c r="AN6" s="10"/>
      <c r="AO6" s="10"/>
      <c r="AP6" s="10"/>
      <c r="AQ6" s="10"/>
      <c r="AR6" s="10"/>
      <c r="AS6" s="10"/>
      <c r="AT6" s="10"/>
    </row>
    <row r="7" spans="1:46" s="4" customFormat="1" ht="24" customHeight="1" x14ac:dyDescent="0.35">
      <c r="A7" s="66" t="s">
        <v>43</v>
      </c>
      <c r="B7" s="188"/>
      <c r="C7" s="53"/>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4"/>
      <c r="AH7" s="54"/>
      <c r="AI7" s="52">
        <f t="shared" ref="AI7:AI12" si="0">SUM(C7:AF7)</f>
        <v>0</v>
      </c>
      <c r="AJ7" s="56">
        <f t="shared" ref="AJ7:AJ12" si="1">COUNT(C7:AF7)</f>
        <v>0</v>
      </c>
      <c r="AK7" s="57" t="e">
        <f t="shared" ref="AK7:AK12" si="2">AI7/AJ7</f>
        <v>#DIV/0!</v>
      </c>
      <c r="AL7" s="80"/>
      <c r="AM7" s="6">
        <v>0.8</v>
      </c>
      <c r="AN7" s="6">
        <v>0.6</v>
      </c>
      <c r="AO7" s="6" t="e">
        <f>IF(AH7=Pass,"N/A",AK7)</f>
        <v>#NAME?</v>
      </c>
      <c r="AP7" s="6">
        <v>0</v>
      </c>
      <c r="AQ7" s="8">
        <v>0</v>
      </c>
      <c r="AR7" s="6">
        <v>0</v>
      </c>
      <c r="AS7" s="6"/>
      <c r="AT7" s="15"/>
    </row>
    <row r="8" spans="1:46" s="4" customFormat="1" ht="24" customHeight="1" x14ac:dyDescent="0.35">
      <c r="A8" s="67" t="s">
        <v>44</v>
      </c>
      <c r="B8" s="188"/>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52">
        <f t="shared" si="0"/>
        <v>0</v>
      </c>
      <c r="AJ8" s="56">
        <f t="shared" si="1"/>
        <v>0</v>
      </c>
      <c r="AK8" s="58" t="e">
        <f t="shared" si="2"/>
        <v>#DIV/0!</v>
      </c>
      <c r="AL8" s="81"/>
      <c r="AM8" s="6"/>
      <c r="AN8" s="6"/>
      <c r="AO8" s="6"/>
      <c r="AP8" s="6"/>
      <c r="AQ8" s="8"/>
      <c r="AR8" s="6"/>
      <c r="AS8" s="6"/>
      <c r="AT8" s="15"/>
    </row>
    <row r="9" spans="1:46" s="4" customFormat="1" ht="24" customHeight="1" x14ac:dyDescent="0.35">
      <c r="A9" s="68" t="s">
        <v>45</v>
      </c>
      <c r="B9" s="189"/>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9"/>
      <c r="AH9" s="9"/>
      <c r="AI9" s="52">
        <f t="shared" si="0"/>
        <v>0</v>
      </c>
      <c r="AJ9" s="56">
        <f t="shared" si="1"/>
        <v>0</v>
      </c>
      <c r="AK9" s="58" t="e">
        <f t="shared" si="2"/>
        <v>#DIV/0!</v>
      </c>
      <c r="AL9" s="81"/>
      <c r="AM9" s="6">
        <v>0.8</v>
      </c>
      <c r="AN9" s="6">
        <v>0.6</v>
      </c>
      <c r="AO9" s="6" t="e">
        <f>IF(AH9=Pass,"N/A",AK9)</f>
        <v>#NAME?</v>
      </c>
      <c r="AP9" s="6">
        <v>0.5</v>
      </c>
      <c r="AQ9" s="8">
        <v>1</v>
      </c>
      <c r="AR9" s="6">
        <v>0.5</v>
      </c>
      <c r="AS9" s="6"/>
      <c r="AT9" s="14"/>
    </row>
    <row r="10" spans="1:46" s="4" customFormat="1" ht="24" customHeight="1" x14ac:dyDescent="0.35">
      <c r="A10" s="68" t="s">
        <v>46</v>
      </c>
      <c r="B10" s="189"/>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9"/>
      <c r="AH10" s="9"/>
      <c r="AI10" s="52">
        <f t="shared" si="0"/>
        <v>0</v>
      </c>
      <c r="AJ10" s="56">
        <f t="shared" si="1"/>
        <v>0</v>
      </c>
      <c r="AK10" s="58" t="e">
        <f t="shared" si="2"/>
        <v>#DIV/0!</v>
      </c>
      <c r="AL10" s="81"/>
      <c r="AM10" s="6">
        <v>0.9</v>
      </c>
      <c r="AN10" s="6">
        <v>0.8</v>
      </c>
      <c r="AO10" s="6" t="e">
        <f>IF(AH10=Pass,"N/A",AK10)</f>
        <v>#NAME?</v>
      </c>
      <c r="AP10" s="6">
        <v>1</v>
      </c>
      <c r="AQ10" s="8" t="s">
        <v>47</v>
      </c>
      <c r="AR10" s="6">
        <v>1</v>
      </c>
      <c r="AS10" s="6"/>
      <c r="AT10" s="14"/>
    </row>
    <row r="11" spans="1:46" s="4" customFormat="1" ht="17.25" customHeight="1" x14ac:dyDescent="0.35">
      <c r="A11" s="68" t="s">
        <v>48</v>
      </c>
      <c r="B11" s="189"/>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9"/>
      <c r="AH11" s="9"/>
      <c r="AI11" s="52">
        <f t="shared" si="0"/>
        <v>0</v>
      </c>
      <c r="AJ11" s="56">
        <f t="shared" si="1"/>
        <v>0</v>
      </c>
      <c r="AK11" s="58" t="e">
        <f t="shared" si="2"/>
        <v>#DIV/0!</v>
      </c>
      <c r="AL11" s="81"/>
      <c r="AM11" s="6"/>
      <c r="AN11" s="6"/>
      <c r="AO11" s="6"/>
      <c r="AP11" s="6" t="s">
        <v>47</v>
      </c>
      <c r="AQ11" s="8"/>
      <c r="AR11" s="6" t="s">
        <v>47</v>
      </c>
      <c r="AS11" s="6"/>
      <c r="AT11" s="14"/>
    </row>
    <row r="12" spans="1:46" s="4" customFormat="1" ht="24" customHeight="1" x14ac:dyDescent="0.35">
      <c r="A12" s="148" t="s">
        <v>49</v>
      </c>
      <c r="B12" s="189"/>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30"/>
      <c r="AH12" s="30"/>
      <c r="AI12" s="52">
        <f t="shared" si="0"/>
        <v>0</v>
      </c>
      <c r="AJ12" s="56">
        <f t="shared" si="1"/>
        <v>0</v>
      </c>
      <c r="AK12" s="58" t="e">
        <f t="shared" si="2"/>
        <v>#DIV/0!</v>
      </c>
      <c r="AL12" s="81"/>
      <c r="AM12" s="6"/>
      <c r="AN12" s="6"/>
      <c r="AO12" s="6"/>
      <c r="AP12" s="6"/>
      <c r="AQ12" s="8"/>
      <c r="AR12" s="6"/>
      <c r="AS12" s="6"/>
      <c r="AT12" s="14"/>
    </row>
    <row r="13" spans="1:46" s="4" customFormat="1" ht="18" customHeight="1" x14ac:dyDescent="0.35">
      <c r="A13" s="219" t="s">
        <v>50</v>
      </c>
      <c r="B13" s="220"/>
      <c r="C13" s="220"/>
      <c r="D13" s="220"/>
      <c r="E13" s="220"/>
      <c r="F13" s="220"/>
      <c r="G13" s="220"/>
      <c r="H13" s="220"/>
      <c r="I13" s="220"/>
      <c r="J13" s="220"/>
      <c r="K13" s="220"/>
      <c r="L13" s="220"/>
      <c r="M13" s="220"/>
      <c r="N13" s="220"/>
      <c r="O13" s="220"/>
      <c r="P13" s="220"/>
      <c r="Q13" s="220"/>
      <c r="R13" s="220"/>
      <c r="S13" s="220"/>
      <c r="T13" s="220"/>
      <c r="U13" s="220"/>
      <c r="V13" s="220"/>
      <c r="W13" s="220"/>
      <c r="X13" s="220"/>
      <c r="Y13" s="220"/>
      <c r="Z13" s="220"/>
      <c r="AA13" s="220"/>
      <c r="AB13" s="220"/>
      <c r="AC13" s="220"/>
      <c r="AD13" s="220"/>
      <c r="AE13" s="220"/>
      <c r="AF13" s="220"/>
      <c r="AG13" s="220"/>
      <c r="AH13" s="221"/>
      <c r="AI13" s="221"/>
      <c r="AJ13" s="221"/>
      <c r="AK13" s="187"/>
      <c r="AL13" s="82"/>
      <c r="AM13" s="6">
        <v>0.5</v>
      </c>
      <c r="AN13" s="6">
        <v>0.3</v>
      </c>
      <c r="AO13" s="6"/>
      <c r="AP13" s="6"/>
      <c r="AQ13" s="6"/>
      <c r="AR13" s="6"/>
      <c r="AS13" s="6"/>
      <c r="AT13" s="14"/>
    </row>
    <row r="14" spans="1:46" s="4" customFormat="1" ht="24" customHeight="1" x14ac:dyDescent="0.35">
      <c r="A14" s="69" t="s">
        <v>51</v>
      </c>
      <c r="B14" s="190"/>
      <c r="C14" s="53"/>
      <c r="D14" s="53"/>
      <c r="E14" s="53"/>
      <c r="F14" s="53"/>
      <c r="G14" s="53"/>
      <c r="H14" s="53"/>
      <c r="I14" s="53"/>
      <c r="J14" s="53"/>
      <c r="K14" s="53"/>
      <c r="L14" s="53"/>
      <c r="M14" s="53"/>
      <c r="N14" s="53"/>
      <c r="O14" s="53"/>
      <c r="P14" s="53"/>
      <c r="Q14" s="53"/>
      <c r="R14" s="53"/>
      <c r="S14" s="53"/>
      <c r="T14" s="53"/>
      <c r="U14" s="53"/>
      <c r="V14" s="53"/>
      <c r="W14" s="53"/>
      <c r="X14" s="53"/>
      <c r="Y14" s="53"/>
      <c r="Z14" s="53"/>
      <c r="AA14" s="53"/>
      <c r="AB14" s="53"/>
      <c r="AC14" s="53"/>
      <c r="AD14" s="53"/>
      <c r="AE14" s="53"/>
      <c r="AF14" s="53"/>
      <c r="AG14" s="54"/>
      <c r="AH14" s="54"/>
      <c r="AI14" s="52">
        <f>SUM(C14:AF14)</f>
        <v>0</v>
      </c>
      <c r="AJ14" s="56">
        <f>COUNT(C14:AF14)</f>
        <v>0</v>
      </c>
      <c r="AK14" s="58" t="e">
        <f>AI14/AJ14</f>
        <v>#DIV/0!</v>
      </c>
      <c r="AL14" s="81"/>
      <c r="AM14" s="6">
        <v>0.7</v>
      </c>
      <c r="AN14" s="6">
        <v>0.4</v>
      </c>
      <c r="AO14" s="6" t="e">
        <f>IF(AH14=Pass,"N/A",AK14)</f>
        <v>#NAME?</v>
      </c>
      <c r="AP14" s="6"/>
      <c r="AQ14" s="6"/>
      <c r="AR14" s="6"/>
      <c r="AS14" s="6"/>
      <c r="AT14" s="14"/>
    </row>
    <row r="15" spans="1:46" s="4" customFormat="1" ht="17.45" customHeight="1" x14ac:dyDescent="0.35">
      <c r="A15" s="70" t="s">
        <v>52</v>
      </c>
      <c r="B15" s="19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9"/>
      <c r="AH15" s="9"/>
      <c r="AI15" s="52">
        <f>SUM(C15:AF15)</f>
        <v>0</v>
      </c>
      <c r="AJ15" s="56">
        <f>COUNT(C15:AF15)</f>
        <v>0</v>
      </c>
      <c r="AK15" s="58" t="e">
        <f>AI15/AJ15</f>
        <v>#DIV/0!</v>
      </c>
      <c r="AL15" s="81"/>
      <c r="AM15" s="6">
        <v>0.7</v>
      </c>
      <c r="AN15" s="6">
        <v>0.4</v>
      </c>
      <c r="AO15" s="6" t="e">
        <f>IF(AH15=Pass,"N/A",AK15)</f>
        <v>#NAME?</v>
      </c>
      <c r="AP15" s="6"/>
      <c r="AQ15" s="6"/>
      <c r="AR15" s="6"/>
      <c r="AS15" s="6"/>
      <c r="AT15" s="14"/>
    </row>
    <row r="16" spans="1:46" s="4" customFormat="1" ht="17.45" customHeight="1" x14ac:dyDescent="0.35">
      <c r="A16" s="71" t="s">
        <v>53</v>
      </c>
      <c r="B16" s="191"/>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30"/>
      <c r="AH16" s="30"/>
      <c r="AI16" s="52">
        <f>SUM(C16:AF16)</f>
        <v>0</v>
      </c>
      <c r="AJ16" s="56">
        <f>COUNT(C16:AF16)</f>
        <v>0</v>
      </c>
      <c r="AK16" s="58" t="e">
        <f>AI16/AJ16</f>
        <v>#DIV/0!</v>
      </c>
      <c r="AL16" s="81"/>
      <c r="AM16" s="6">
        <v>0.7</v>
      </c>
      <c r="AN16" s="6">
        <v>0.4</v>
      </c>
      <c r="AO16" s="6" t="e">
        <f>IF(AH16=Pass,"N/A",AK16)</f>
        <v>#NAME?</v>
      </c>
      <c r="AP16" s="6"/>
      <c r="AQ16" s="6"/>
      <c r="AR16" s="6"/>
      <c r="AS16" s="6"/>
      <c r="AT16" s="14"/>
    </row>
    <row r="17" spans="1:46" s="4" customFormat="1" ht="17.45" customHeight="1" x14ac:dyDescent="0.35">
      <c r="A17" s="192" t="s">
        <v>54</v>
      </c>
      <c r="B17" s="193"/>
      <c r="C17" s="193"/>
      <c r="D17" s="193"/>
      <c r="E17" s="193"/>
      <c r="F17" s="193"/>
      <c r="G17" s="193"/>
      <c r="H17" s="193"/>
      <c r="I17" s="193"/>
      <c r="J17" s="193"/>
      <c r="K17" s="193"/>
      <c r="L17" s="193"/>
      <c r="M17" s="193"/>
      <c r="N17" s="193"/>
      <c r="O17" s="193"/>
      <c r="P17" s="193"/>
      <c r="Q17" s="193"/>
      <c r="R17" s="193"/>
      <c r="S17" s="193"/>
      <c r="T17" s="193"/>
      <c r="U17" s="193"/>
      <c r="V17" s="193"/>
      <c r="W17" s="193"/>
      <c r="X17" s="193"/>
      <c r="Y17" s="193"/>
      <c r="Z17" s="193"/>
      <c r="AA17" s="193"/>
      <c r="AB17" s="193"/>
      <c r="AC17" s="193"/>
      <c r="AD17" s="193"/>
      <c r="AE17" s="193"/>
      <c r="AF17" s="193"/>
      <c r="AG17" s="193"/>
      <c r="AH17" s="193"/>
      <c r="AI17" s="193"/>
      <c r="AJ17" s="193"/>
      <c r="AK17" s="194"/>
      <c r="AL17" s="83"/>
      <c r="AM17" s="6">
        <v>0.9</v>
      </c>
      <c r="AN17" s="6">
        <v>0.8</v>
      </c>
      <c r="AO17" s="6" t="e">
        <f>IF(AH17=Pass,"N/A",AK17)</f>
        <v>#NAME?</v>
      </c>
      <c r="AP17" s="6"/>
      <c r="AQ17" s="6"/>
      <c r="AR17" s="6"/>
      <c r="AS17" s="6"/>
      <c r="AT17" s="14"/>
    </row>
    <row r="18" spans="1:46" s="4" customFormat="1" ht="24" customHeight="1" x14ac:dyDescent="0.35">
      <c r="A18" s="69" t="s">
        <v>55</v>
      </c>
      <c r="B18" s="51"/>
      <c r="C18" s="53"/>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4"/>
      <c r="AH18" s="54"/>
      <c r="AI18" s="52">
        <f>SUM(C18:AF18)</f>
        <v>0</v>
      </c>
      <c r="AJ18" s="56">
        <f>COUNT(C18:AF18)</f>
        <v>0</v>
      </c>
      <c r="AK18" s="58" t="e">
        <f>AI18/AJ18</f>
        <v>#DIV/0!</v>
      </c>
      <c r="AL18" s="81"/>
      <c r="AM18" s="6">
        <v>0.8</v>
      </c>
      <c r="AN18" s="6">
        <v>0.6</v>
      </c>
      <c r="AO18" s="6" t="e">
        <f>IF(AH18=Pass,"N/A",AK18)</f>
        <v>#NAME?</v>
      </c>
      <c r="AP18" s="6"/>
      <c r="AQ18" s="6"/>
      <c r="AR18" s="6"/>
      <c r="AS18" s="6"/>
      <c r="AT18" s="14"/>
    </row>
    <row r="19" spans="1:46" s="4" customFormat="1" ht="29.25" customHeight="1" x14ac:dyDescent="0.35">
      <c r="A19" s="70" t="s">
        <v>56</v>
      </c>
      <c r="B19" s="51"/>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30"/>
      <c r="AH19" s="30"/>
      <c r="AI19" s="52">
        <f>SUM(C19:AF19)</f>
        <v>0</v>
      </c>
      <c r="AJ19" s="56">
        <f>COUNT(C19:AF19)</f>
        <v>0</v>
      </c>
      <c r="AK19" s="58" t="e">
        <f>AI19/AJ19</f>
        <v>#DIV/0!</v>
      </c>
      <c r="AL19" s="81"/>
      <c r="AM19" s="6"/>
      <c r="AN19" s="6"/>
      <c r="AO19" s="6"/>
      <c r="AP19" s="6"/>
      <c r="AQ19" s="6"/>
      <c r="AR19" s="6"/>
      <c r="AS19" s="6"/>
      <c r="AT19" s="14"/>
    </row>
    <row r="20" spans="1:46" ht="17.45" customHeight="1" x14ac:dyDescent="0.35">
      <c r="A20" s="185" t="s">
        <v>57</v>
      </c>
      <c r="B20" s="186"/>
      <c r="C20" s="186"/>
      <c r="D20" s="186"/>
      <c r="E20" s="186"/>
      <c r="F20" s="186"/>
      <c r="G20" s="186"/>
      <c r="H20" s="186"/>
      <c r="I20" s="186"/>
      <c r="J20" s="186"/>
      <c r="K20" s="186"/>
      <c r="L20" s="186"/>
      <c r="M20" s="186"/>
      <c r="N20" s="186"/>
      <c r="O20" s="186"/>
      <c r="P20" s="186"/>
      <c r="Q20" s="186"/>
      <c r="R20" s="186"/>
      <c r="S20" s="186"/>
      <c r="T20" s="186"/>
      <c r="U20" s="186"/>
      <c r="V20" s="186"/>
      <c r="W20" s="186"/>
      <c r="X20" s="186"/>
      <c r="Y20" s="186"/>
      <c r="Z20" s="186"/>
      <c r="AA20" s="186"/>
      <c r="AB20" s="186"/>
      <c r="AC20" s="186"/>
      <c r="AD20" s="186"/>
      <c r="AE20" s="186"/>
      <c r="AF20" s="186"/>
      <c r="AG20" s="186"/>
      <c r="AH20" s="186"/>
      <c r="AI20" s="186"/>
      <c r="AJ20" s="186"/>
      <c r="AK20" s="187"/>
      <c r="AL20" s="83"/>
      <c r="AM20" s="6"/>
      <c r="AN20" s="6"/>
      <c r="AO20" s="6"/>
      <c r="AT20" s="14"/>
    </row>
    <row r="21" spans="1:46" ht="29.25" customHeight="1" x14ac:dyDescent="0.35">
      <c r="A21" s="72" t="s">
        <v>58</v>
      </c>
      <c r="B21" s="51"/>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19"/>
      <c r="AH21" s="31"/>
      <c r="AI21" s="52">
        <f>SUM(C21:AF21)</f>
        <v>0</v>
      </c>
      <c r="AJ21" s="56">
        <f>COUNT(C21:AF21)</f>
        <v>0</v>
      </c>
      <c r="AK21" s="58" t="e">
        <f>AI21/AJ21</f>
        <v>#DIV/0!</v>
      </c>
      <c r="AL21" s="81"/>
      <c r="AM21" s="6"/>
      <c r="AN21" s="6"/>
      <c r="AO21" s="6"/>
      <c r="AT21" s="14"/>
    </row>
    <row r="22" spans="1:46" s="4" customFormat="1" ht="17.45" customHeight="1" thickBot="1" x14ac:dyDescent="0.4">
      <c r="A22" s="73" t="s">
        <v>59</v>
      </c>
      <c r="B22" s="74"/>
      <c r="C22" s="75">
        <f t="shared" ref="C22:AI22" si="3">SUM(C7:C21)</f>
        <v>0</v>
      </c>
      <c r="D22" s="75">
        <f t="shared" si="3"/>
        <v>0</v>
      </c>
      <c r="E22" s="75">
        <f t="shared" si="3"/>
        <v>0</v>
      </c>
      <c r="F22" s="75">
        <f>SUM(F7:F21)</f>
        <v>0</v>
      </c>
      <c r="G22" s="75">
        <f t="shared" si="3"/>
        <v>0</v>
      </c>
      <c r="H22" s="75">
        <f t="shared" si="3"/>
        <v>0</v>
      </c>
      <c r="I22" s="75">
        <f>SUM(I7:I21)</f>
        <v>0</v>
      </c>
      <c r="J22" s="75">
        <f t="shared" si="3"/>
        <v>0</v>
      </c>
      <c r="K22" s="75">
        <f t="shared" si="3"/>
        <v>0</v>
      </c>
      <c r="L22" s="75">
        <f t="shared" si="3"/>
        <v>0</v>
      </c>
      <c r="M22" s="75">
        <f t="shared" si="3"/>
        <v>0</v>
      </c>
      <c r="N22" s="75">
        <f t="shared" si="3"/>
        <v>0</v>
      </c>
      <c r="O22" s="75">
        <f t="shared" si="3"/>
        <v>0</v>
      </c>
      <c r="P22" s="75">
        <f t="shared" si="3"/>
        <v>0</v>
      </c>
      <c r="Q22" s="75">
        <f t="shared" si="3"/>
        <v>0</v>
      </c>
      <c r="R22" s="75">
        <f t="shared" si="3"/>
        <v>0</v>
      </c>
      <c r="S22" s="75">
        <f t="shared" si="3"/>
        <v>0</v>
      </c>
      <c r="T22" s="75">
        <f t="shared" si="3"/>
        <v>0</v>
      </c>
      <c r="U22" s="75">
        <f t="shared" si="3"/>
        <v>0</v>
      </c>
      <c r="V22" s="75">
        <f t="shared" si="3"/>
        <v>0</v>
      </c>
      <c r="W22" s="75">
        <f t="shared" si="3"/>
        <v>0</v>
      </c>
      <c r="X22" s="75">
        <f t="shared" si="3"/>
        <v>0</v>
      </c>
      <c r="Y22" s="75">
        <f t="shared" si="3"/>
        <v>0</v>
      </c>
      <c r="Z22" s="75">
        <f t="shared" si="3"/>
        <v>0</v>
      </c>
      <c r="AA22" s="75">
        <f t="shared" si="3"/>
        <v>0</v>
      </c>
      <c r="AB22" s="75">
        <f t="shared" si="3"/>
        <v>0</v>
      </c>
      <c r="AC22" s="75">
        <f t="shared" si="3"/>
        <v>0</v>
      </c>
      <c r="AD22" s="75">
        <f t="shared" si="3"/>
        <v>0</v>
      </c>
      <c r="AE22" s="75">
        <f t="shared" si="3"/>
        <v>0</v>
      </c>
      <c r="AF22" s="75">
        <f t="shared" si="3"/>
        <v>0</v>
      </c>
      <c r="AG22" s="75">
        <f t="shared" si="3"/>
        <v>0</v>
      </c>
      <c r="AH22" s="75">
        <f t="shared" si="3"/>
        <v>0</v>
      </c>
      <c r="AI22" s="75">
        <f t="shared" si="3"/>
        <v>0</v>
      </c>
      <c r="AJ22" s="75">
        <f>COUNT(C22:AF22)</f>
        <v>30</v>
      </c>
      <c r="AK22" s="76"/>
      <c r="AL22" s="84"/>
      <c r="AO22" s="6"/>
      <c r="AP22" s="6"/>
      <c r="AQ22" s="6"/>
      <c r="AR22" s="6"/>
      <c r="AS22" s="6"/>
      <c r="AT22" s="14"/>
    </row>
    <row r="23" spans="1:46" ht="19.5" customHeight="1" thickBot="1" x14ac:dyDescent="0.4">
      <c r="A23" s="16"/>
      <c r="B23" s="3"/>
      <c r="C23" s="145">
        <f>SUM(C7:C21)</f>
        <v>0</v>
      </c>
      <c r="D23" s="145">
        <f t="shared" ref="D23:AF23" si="4">SUM(D7:D21)</f>
        <v>0</v>
      </c>
      <c r="E23" s="145">
        <f t="shared" si="4"/>
        <v>0</v>
      </c>
      <c r="F23" s="145">
        <f t="shared" si="4"/>
        <v>0</v>
      </c>
      <c r="G23" s="145">
        <f t="shared" si="4"/>
        <v>0</v>
      </c>
      <c r="H23" s="145">
        <f t="shared" si="4"/>
        <v>0</v>
      </c>
      <c r="I23" s="145">
        <f t="shared" si="4"/>
        <v>0</v>
      </c>
      <c r="J23" s="145">
        <f t="shared" si="4"/>
        <v>0</v>
      </c>
      <c r="K23" s="145">
        <f t="shared" si="4"/>
        <v>0</v>
      </c>
      <c r="L23" s="145">
        <f t="shared" si="4"/>
        <v>0</v>
      </c>
      <c r="M23" s="145">
        <f t="shared" si="4"/>
        <v>0</v>
      </c>
      <c r="N23" s="145">
        <f t="shared" si="4"/>
        <v>0</v>
      </c>
      <c r="O23" s="145">
        <f t="shared" si="4"/>
        <v>0</v>
      </c>
      <c r="P23" s="145">
        <f t="shared" si="4"/>
        <v>0</v>
      </c>
      <c r="Q23" s="145">
        <f t="shared" si="4"/>
        <v>0</v>
      </c>
      <c r="R23" s="145">
        <f t="shared" si="4"/>
        <v>0</v>
      </c>
      <c r="S23" s="145">
        <f t="shared" si="4"/>
        <v>0</v>
      </c>
      <c r="T23" s="145">
        <f t="shared" si="4"/>
        <v>0</v>
      </c>
      <c r="U23" s="145">
        <f t="shared" si="4"/>
        <v>0</v>
      </c>
      <c r="V23" s="145">
        <f t="shared" si="4"/>
        <v>0</v>
      </c>
      <c r="W23" s="145">
        <f t="shared" si="4"/>
        <v>0</v>
      </c>
      <c r="X23" s="145">
        <f t="shared" si="4"/>
        <v>0</v>
      </c>
      <c r="Y23" s="145">
        <f t="shared" si="4"/>
        <v>0</v>
      </c>
      <c r="Z23" s="145">
        <f t="shared" si="4"/>
        <v>0</v>
      </c>
      <c r="AA23" s="145">
        <f t="shared" si="4"/>
        <v>0</v>
      </c>
      <c r="AB23" s="145">
        <f t="shared" si="4"/>
        <v>0</v>
      </c>
      <c r="AC23" s="145">
        <f t="shared" si="4"/>
        <v>0</v>
      </c>
      <c r="AD23" s="145">
        <f t="shared" si="4"/>
        <v>0</v>
      </c>
      <c r="AE23" s="145">
        <f t="shared" si="4"/>
        <v>0</v>
      </c>
      <c r="AF23" s="145">
        <f t="shared" si="4"/>
        <v>0</v>
      </c>
      <c r="AG23" s="3"/>
      <c r="AH23" s="3"/>
      <c r="AI23" s="3"/>
      <c r="AK23" s="14"/>
      <c r="AL23" s="14"/>
    </row>
    <row r="24" spans="1:46" ht="19.5" customHeight="1" x14ac:dyDescent="0.4">
      <c r="A24" s="179" t="s">
        <v>60</v>
      </c>
      <c r="B24" s="180"/>
      <c r="C24" s="32">
        <f t="shared" ref="C24:L24" si="5">COUNTIF(C5:C21,"1")</f>
        <v>0</v>
      </c>
      <c r="D24" s="32">
        <f t="shared" si="5"/>
        <v>0</v>
      </c>
      <c r="E24" s="32">
        <f t="shared" si="5"/>
        <v>0</v>
      </c>
      <c r="F24" s="32">
        <f t="shared" si="5"/>
        <v>0</v>
      </c>
      <c r="G24" s="32">
        <f t="shared" si="5"/>
        <v>0</v>
      </c>
      <c r="H24" s="32">
        <f t="shared" si="5"/>
        <v>0</v>
      </c>
      <c r="I24" s="32">
        <f t="shared" si="5"/>
        <v>0</v>
      </c>
      <c r="J24" s="32">
        <f t="shared" si="5"/>
        <v>0</v>
      </c>
      <c r="K24" s="32">
        <f t="shared" si="5"/>
        <v>0</v>
      </c>
      <c r="L24" s="32">
        <f t="shared" si="5"/>
        <v>0</v>
      </c>
      <c r="M24" s="32">
        <f t="shared" ref="M24:AH24" si="6">COUNTIF(M5:M21,"1")</f>
        <v>0</v>
      </c>
      <c r="N24" s="32">
        <f t="shared" si="6"/>
        <v>0</v>
      </c>
      <c r="O24" s="32">
        <f t="shared" si="6"/>
        <v>0</v>
      </c>
      <c r="P24" s="32">
        <f t="shared" si="6"/>
        <v>0</v>
      </c>
      <c r="Q24" s="32">
        <f t="shared" si="6"/>
        <v>0</v>
      </c>
      <c r="R24" s="32">
        <f t="shared" si="6"/>
        <v>0</v>
      </c>
      <c r="S24" s="32">
        <f t="shared" si="6"/>
        <v>0</v>
      </c>
      <c r="T24" s="32">
        <f t="shared" si="6"/>
        <v>0</v>
      </c>
      <c r="U24" s="32">
        <f t="shared" si="6"/>
        <v>0</v>
      </c>
      <c r="V24" s="32">
        <f t="shared" si="6"/>
        <v>0</v>
      </c>
      <c r="W24" s="32">
        <f t="shared" si="6"/>
        <v>0</v>
      </c>
      <c r="X24" s="32">
        <f t="shared" si="6"/>
        <v>0</v>
      </c>
      <c r="Y24" s="32">
        <f t="shared" si="6"/>
        <v>0</v>
      </c>
      <c r="Z24" s="32">
        <f t="shared" si="6"/>
        <v>0</v>
      </c>
      <c r="AA24" s="32">
        <f t="shared" si="6"/>
        <v>0</v>
      </c>
      <c r="AB24" s="32">
        <f t="shared" si="6"/>
        <v>0</v>
      </c>
      <c r="AC24" s="32">
        <f t="shared" si="6"/>
        <v>0</v>
      </c>
      <c r="AD24" s="32">
        <f t="shared" si="6"/>
        <v>0</v>
      </c>
      <c r="AE24" s="32">
        <f t="shared" si="6"/>
        <v>0</v>
      </c>
      <c r="AF24" s="32">
        <f t="shared" si="6"/>
        <v>0</v>
      </c>
      <c r="AG24" s="32">
        <f t="shared" si="6"/>
        <v>0</v>
      </c>
      <c r="AH24" s="32">
        <f t="shared" si="6"/>
        <v>0</v>
      </c>
      <c r="AI24" s="32">
        <f>SUM(C24:AF24)</f>
        <v>0</v>
      </c>
    </row>
    <row r="25" spans="1:46" ht="19.5" customHeight="1" x14ac:dyDescent="0.4">
      <c r="A25" s="179" t="s">
        <v>61</v>
      </c>
      <c r="B25" s="180"/>
      <c r="C25" s="32">
        <f t="shared" ref="C25:L25" si="7">COUNTIF(C6:C21,"0.5")</f>
        <v>0</v>
      </c>
      <c r="D25" s="32">
        <f t="shared" si="7"/>
        <v>0</v>
      </c>
      <c r="E25" s="32">
        <f t="shared" si="7"/>
        <v>0</v>
      </c>
      <c r="F25" s="32">
        <f t="shared" si="7"/>
        <v>0</v>
      </c>
      <c r="G25" s="32">
        <f t="shared" si="7"/>
        <v>0</v>
      </c>
      <c r="H25" s="32">
        <f t="shared" si="7"/>
        <v>0</v>
      </c>
      <c r="I25" s="32">
        <f t="shared" si="7"/>
        <v>0</v>
      </c>
      <c r="J25" s="32">
        <f t="shared" si="7"/>
        <v>0</v>
      </c>
      <c r="K25" s="32">
        <f t="shared" si="7"/>
        <v>0</v>
      </c>
      <c r="L25" s="32">
        <f t="shared" si="7"/>
        <v>0</v>
      </c>
      <c r="M25" s="32">
        <f t="shared" ref="M25:AH25" si="8">COUNTIF(M6:M21,"0.5")</f>
        <v>0</v>
      </c>
      <c r="N25" s="32">
        <f t="shared" si="8"/>
        <v>0</v>
      </c>
      <c r="O25" s="32">
        <f t="shared" si="8"/>
        <v>0</v>
      </c>
      <c r="P25" s="32">
        <f t="shared" si="8"/>
        <v>0</v>
      </c>
      <c r="Q25" s="32">
        <f t="shared" si="8"/>
        <v>0</v>
      </c>
      <c r="R25" s="32">
        <f t="shared" si="8"/>
        <v>0</v>
      </c>
      <c r="S25" s="32">
        <f t="shared" si="8"/>
        <v>0</v>
      </c>
      <c r="T25" s="32">
        <f t="shared" si="8"/>
        <v>0</v>
      </c>
      <c r="U25" s="32">
        <f t="shared" si="8"/>
        <v>0</v>
      </c>
      <c r="V25" s="32">
        <f t="shared" si="8"/>
        <v>0</v>
      </c>
      <c r="W25" s="32">
        <f t="shared" si="8"/>
        <v>0</v>
      </c>
      <c r="X25" s="32">
        <f t="shared" si="8"/>
        <v>0</v>
      </c>
      <c r="Y25" s="32">
        <f t="shared" si="8"/>
        <v>0</v>
      </c>
      <c r="Z25" s="32">
        <f t="shared" si="8"/>
        <v>0</v>
      </c>
      <c r="AA25" s="32">
        <f t="shared" si="8"/>
        <v>0</v>
      </c>
      <c r="AB25" s="32">
        <f t="shared" si="8"/>
        <v>0</v>
      </c>
      <c r="AC25" s="32">
        <f t="shared" si="8"/>
        <v>0</v>
      </c>
      <c r="AD25" s="32">
        <f t="shared" si="8"/>
        <v>0</v>
      </c>
      <c r="AE25" s="32">
        <f t="shared" si="8"/>
        <v>0</v>
      </c>
      <c r="AF25" s="32">
        <f t="shared" si="8"/>
        <v>0</v>
      </c>
      <c r="AG25" s="32">
        <f t="shared" si="8"/>
        <v>0</v>
      </c>
      <c r="AH25" s="32">
        <f t="shared" si="8"/>
        <v>0</v>
      </c>
      <c r="AI25" s="32">
        <f>SUM(C25:AF25)</f>
        <v>0</v>
      </c>
    </row>
    <row r="26" spans="1:46" ht="19.5" customHeight="1" x14ac:dyDescent="0.4">
      <c r="A26" s="179" t="s">
        <v>62</v>
      </c>
      <c r="B26" s="180"/>
      <c r="C26" s="32">
        <f t="shared" ref="C26:L26" si="9">COUNTIF(C7:C21,"0")</f>
        <v>0</v>
      </c>
      <c r="D26" s="32">
        <f t="shared" si="9"/>
        <v>0</v>
      </c>
      <c r="E26" s="32">
        <f t="shared" si="9"/>
        <v>0</v>
      </c>
      <c r="F26" s="32">
        <f t="shared" si="9"/>
        <v>0</v>
      </c>
      <c r="G26" s="32">
        <f t="shared" si="9"/>
        <v>0</v>
      </c>
      <c r="H26" s="32">
        <f t="shared" si="9"/>
        <v>0</v>
      </c>
      <c r="I26" s="32">
        <f t="shared" si="9"/>
        <v>0</v>
      </c>
      <c r="J26" s="32">
        <f t="shared" si="9"/>
        <v>0</v>
      </c>
      <c r="K26" s="32">
        <f t="shared" si="9"/>
        <v>0</v>
      </c>
      <c r="L26" s="32">
        <f t="shared" si="9"/>
        <v>0</v>
      </c>
      <c r="M26" s="32">
        <f t="shared" ref="M26:AF26" si="10">COUNTIF(M7:M21,"0")</f>
        <v>0</v>
      </c>
      <c r="N26" s="32">
        <f t="shared" si="10"/>
        <v>0</v>
      </c>
      <c r="O26" s="32">
        <f t="shared" si="10"/>
        <v>0</v>
      </c>
      <c r="P26" s="32">
        <f t="shared" si="10"/>
        <v>0</v>
      </c>
      <c r="Q26" s="32">
        <f t="shared" si="10"/>
        <v>0</v>
      </c>
      <c r="R26" s="32">
        <f t="shared" si="10"/>
        <v>0</v>
      </c>
      <c r="S26" s="32">
        <f t="shared" si="10"/>
        <v>0</v>
      </c>
      <c r="T26" s="32">
        <f t="shared" si="10"/>
        <v>0</v>
      </c>
      <c r="U26" s="32">
        <f t="shared" si="10"/>
        <v>0</v>
      </c>
      <c r="V26" s="32">
        <f t="shared" si="10"/>
        <v>0</v>
      </c>
      <c r="W26" s="32">
        <f t="shared" si="10"/>
        <v>0</v>
      </c>
      <c r="X26" s="32">
        <f t="shared" si="10"/>
        <v>0</v>
      </c>
      <c r="Y26" s="32">
        <f t="shared" si="10"/>
        <v>0</v>
      </c>
      <c r="Z26" s="32">
        <f t="shared" si="10"/>
        <v>0</v>
      </c>
      <c r="AA26" s="32">
        <f t="shared" si="10"/>
        <v>0</v>
      </c>
      <c r="AB26" s="32">
        <f t="shared" si="10"/>
        <v>0</v>
      </c>
      <c r="AC26" s="32">
        <f t="shared" si="10"/>
        <v>0</v>
      </c>
      <c r="AD26" s="32">
        <f t="shared" si="10"/>
        <v>0</v>
      </c>
      <c r="AE26" s="32">
        <f t="shared" si="10"/>
        <v>0</v>
      </c>
      <c r="AF26" s="32">
        <f t="shared" si="10"/>
        <v>0</v>
      </c>
      <c r="AG26" s="33"/>
      <c r="AH26" s="33"/>
      <c r="AI26" s="32">
        <f>SUM(C26:AF26)</f>
        <v>0</v>
      </c>
    </row>
    <row r="27" spans="1:46" ht="19.5" customHeight="1" x14ac:dyDescent="0.4">
      <c r="A27" s="179" t="s">
        <v>63</v>
      </c>
      <c r="B27" s="180"/>
      <c r="C27" s="32">
        <f t="shared" ref="C27:L27" si="11">COUNTIF(C8:C22,"N")</f>
        <v>0</v>
      </c>
      <c r="D27" s="32">
        <f t="shared" si="11"/>
        <v>0</v>
      </c>
      <c r="E27" s="32">
        <f t="shared" si="11"/>
        <v>0</v>
      </c>
      <c r="F27" s="32">
        <f t="shared" si="11"/>
        <v>0</v>
      </c>
      <c r="G27" s="32">
        <f t="shared" si="11"/>
        <v>0</v>
      </c>
      <c r="H27" s="32">
        <f t="shared" si="11"/>
        <v>0</v>
      </c>
      <c r="I27" s="32">
        <f t="shared" si="11"/>
        <v>0</v>
      </c>
      <c r="J27" s="32">
        <f t="shared" si="11"/>
        <v>0</v>
      </c>
      <c r="K27" s="32">
        <f t="shared" si="11"/>
        <v>0</v>
      </c>
      <c r="L27" s="32">
        <f t="shared" si="11"/>
        <v>0</v>
      </c>
      <c r="M27" s="32">
        <f t="shared" ref="M27:AF27" si="12">COUNTIF(M8:M22,"N")</f>
        <v>0</v>
      </c>
      <c r="N27" s="32">
        <f t="shared" si="12"/>
        <v>0</v>
      </c>
      <c r="O27" s="32">
        <f t="shared" si="12"/>
        <v>0</v>
      </c>
      <c r="P27" s="32">
        <f t="shared" si="12"/>
        <v>0</v>
      </c>
      <c r="Q27" s="32">
        <f t="shared" si="12"/>
        <v>0</v>
      </c>
      <c r="R27" s="32">
        <f t="shared" si="12"/>
        <v>0</v>
      </c>
      <c r="S27" s="32">
        <f t="shared" si="12"/>
        <v>0</v>
      </c>
      <c r="T27" s="32">
        <f t="shared" si="12"/>
        <v>0</v>
      </c>
      <c r="U27" s="32">
        <f t="shared" si="12"/>
        <v>0</v>
      </c>
      <c r="V27" s="32">
        <f t="shared" si="12"/>
        <v>0</v>
      </c>
      <c r="W27" s="32">
        <f t="shared" si="12"/>
        <v>0</v>
      </c>
      <c r="X27" s="32">
        <f t="shared" si="12"/>
        <v>0</v>
      </c>
      <c r="Y27" s="32">
        <f t="shared" si="12"/>
        <v>0</v>
      </c>
      <c r="Z27" s="32">
        <f t="shared" si="12"/>
        <v>0</v>
      </c>
      <c r="AA27" s="32">
        <f t="shared" si="12"/>
        <v>0</v>
      </c>
      <c r="AB27" s="32">
        <f t="shared" si="12"/>
        <v>0</v>
      </c>
      <c r="AC27" s="32">
        <f t="shared" si="12"/>
        <v>0</v>
      </c>
      <c r="AD27" s="32">
        <f t="shared" si="12"/>
        <v>0</v>
      </c>
      <c r="AE27" s="32">
        <f t="shared" si="12"/>
        <v>0</v>
      </c>
      <c r="AF27" s="32">
        <f t="shared" si="12"/>
        <v>0</v>
      </c>
      <c r="AG27" s="33"/>
      <c r="AH27" s="33"/>
      <c r="AI27" s="32">
        <f>SUM(C27:AF27)</f>
        <v>0</v>
      </c>
    </row>
    <row r="28" spans="1:46" ht="19.5" customHeight="1" x14ac:dyDescent="0.4"/>
    <row r="29" spans="1:46" ht="19.5" customHeight="1" x14ac:dyDescent="0.4">
      <c r="A29" s="179" t="s">
        <v>64</v>
      </c>
      <c r="B29" s="180"/>
      <c r="C29" s="46">
        <f>SUM(C24:AF24,C25:AF25,C26:AF26)</f>
        <v>0</v>
      </c>
      <c r="D29" s="199" t="s">
        <v>65</v>
      </c>
      <c r="E29" s="198"/>
    </row>
    <row r="30" spans="1:46" ht="19.5" customHeight="1" x14ac:dyDescent="0.4">
      <c r="A30" s="175" t="s">
        <v>66</v>
      </c>
      <c r="B30" s="176"/>
      <c r="C30" s="46">
        <f>SUM(C24:AF24)</f>
        <v>0</v>
      </c>
      <c r="D30" s="197" t="e">
        <f>C30/C29</f>
        <v>#DIV/0!</v>
      </c>
      <c r="E30" s="198"/>
    </row>
    <row r="31" spans="1:46" ht="19.5" customHeight="1" x14ac:dyDescent="0.4">
      <c r="A31" s="175" t="s">
        <v>67</v>
      </c>
      <c r="B31" s="176"/>
      <c r="C31" s="46">
        <f>SUM(C25:AF25)</f>
        <v>0</v>
      </c>
      <c r="D31" s="183" t="e">
        <f>(C31/C29)</f>
        <v>#DIV/0!</v>
      </c>
      <c r="E31" s="184"/>
    </row>
    <row r="32" spans="1:46" ht="19.5" customHeight="1" x14ac:dyDescent="0.4">
      <c r="A32" s="175" t="s">
        <v>68</v>
      </c>
      <c r="B32" s="176"/>
      <c r="C32" s="46">
        <f>SUM(C26:AF26)</f>
        <v>0</v>
      </c>
      <c r="D32" s="183" t="e">
        <f>(C32/C29)</f>
        <v>#DIV/0!</v>
      </c>
      <c r="E32" s="184"/>
    </row>
  </sheetData>
  <sheetProtection selectLockedCells="1"/>
  <mergeCells count="31">
    <mergeCell ref="AM4:AN4"/>
    <mergeCell ref="A3:B3"/>
    <mergeCell ref="A4:B4"/>
    <mergeCell ref="A6:AK6"/>
    <mergeCell ref="A13:AK13"/>
    <mergeCell ref="AG2:AG5"/>
    <mergeCell ref="B1:C1"/>
    <mergeCell ref="D30:E30"/>
    <mergeCell ref="D29:E29"/>
    <mergeCell ref="AA1:AC1"/>
    <mergeCell ref="O1:Q1"/>
    <mergeCell ref="W1:Z1"/>
    <mergeCell ref="I1:M1"/>
    <mergeCell ref="R1:V1"/>
    <mergeCell ref="A2:B2"/>
    <mergeCell ref="A31:B31"/>
    <mergeCell ref="A5:B5"/>
    <mergeCell ref="A29:B29"/>
    <mergeCell ref="D1:F1"/>
    <mergeCell ref="A32:B32"/>
    <mergeCell ref="A24:B24"/>
    <mergeCell ref="A25:B25"/>
    <mergeCell ref="A26:B26"/>
    <mergeCell ref="A27:B27"/>
    <mergeCell ref="D32:E32"/>
    <mergeCell ref="D31:E31"/>
    <mergeCell ref="A20:AK20"/>
    <mergeCell ref="A30:B30"/>
    <mergeCell ref="B7:B12"/>
    <mergeCell ref="B14:B16"/>
    <mergeCell ref="A17:AK17"/>
  </mergeCells>
  <phoneticPr fontId="0" type="noConversion"/>
  <conditionalFormatting sqref="C23:AF23">
    <cfRule type="iconSet" priority="1">
      <iconSet iconSet="3Flags">
        <cfvo type="percent" val="0"/>
        <cfvo type="num" val="4"/>
        <cfvo type="num" val="8"/>
      </iconSet>
    </cfRule>
  </conditionalFormatting>
  <conditionalFormatting sqref="AK7:AL12 AK23:AL23 AK14:AL16 AK18:AL19 AK21:AL21">
    <cfRule type="colorScale" priority="79">
      <colorScale>
        <cfvo type="num" val="0"/>
        <cfvo type="num" val="0.6"/>
        <cfvo type="num" val="0.8"/>
        <color rgb="FFFF0000"/>
        <color rgb="FFFFC000"/>
        <color rgb="FF63BE7B"/>
      </colorScale>
    </cfRule>
  </conditionalFormatting>
  <dataValidations xWindow="907" yWindow="354" count="3">
    <dataValidation type="list" allowBlank="1" showInputMessage="1" showErrorMessage="1" errorTitle="Record Audit" error="Use 0 for non-compliant_x000a_Use 0.5 for partially compliant_x000a_Use 1 for fully compliant._x000a_Use N for not applicable or no record" promptTitle="Record Audit" prompt="Use 0 for non-compliant_x000a_Use 0.5 for partially compliant_x000a_Use 1 for fully compliant._x000a_Use N for not applicable or no record" sqref="AG8:AH8 AG21:AH21" xr:uid="{00000000-0002-0000-0100-000000000000}">
      <formula1>$AR$7:$AR$11</formula1>
    </dataValidation>
    <dataValidation type="list" allowBlank="1" showInputMessage="1" showErrorMessage="1" errorTitle="Record Audit" error="Use 0 for non-compliant_x000a_Use 0.5 for partially compliant_x000a_Use 1 for fully compliant._x000a_Use N for not applicable or no record" promptTitle="Record Audit" prompt="Use 0 for unacceptable_x000a_Use 0.5 for concern_x000a_Use 1 for acceptable_x000a_Use N for not applicable or no record" sqref="C7:AF12 C14:AF16 C18:AF19 C21:AF21" xr:uid="{00000000-0002-0000-0100-000001000000}">
      <formula1>$AR$7:$AR$11</formula1>
    </dataValidation>
    <dataValidation allowBlank="1" showInputMessage="1" showErrorMessage="1" promptTitle="Red Flag" prompt="Value total of 4 or less" sqref="C23:AF23" xr:uid="{00000000-0002-0000-0100-000002000000}"/>
  </dataValidations>
  <hyperlinks>
    <hyperlink ref="A7" location="'Criteria Guidance'!A1" display="Are the notes coherent and well-structured and include all contacts?" xr:uid="{00000000-0004-0000-0100-000000000000}"/>
    <hyperlink ref="A8" location="'Criteria Guidance'!A10" display="Problem appropriately summarised and Read coded" xr:uid="{00000000-0004-0000-0100-000001000000}"/>
    <hyperlink ref="A9" location="'Criteria Guidance'!A1" display="Is there a record of the history of the presenting complaint with documentation of relevant positive features?" xr:uid="{00000000-0004-0000-0100-000002000000}"/>
    <hyperlink ref="A10" location="'Criteria Guidance'!A22" display="Is there a record of the history of the presenting complaint with documentation of relevant negative features?" xr:uid="{00000000-0004-0000-0100-000003000000}"/>
    <hyperlink ref="A11" location="'Criteria Guidance'!A29" display="Is there a record of any relevant clinical examination findings?" xr:uid="{00000000-0004-0000-0100-000004000000}"/>
    <hyperlink ref="A12" location="'Criteria Guidance'!A35" display="Makes appropriate diagnostic decisions based on the information acquired, including referral, with a recording of the working diagnosis" xr:uid="{00000000-0004-0000-0100-000005000000}"/>
    <hyperlink ref="A14" location="'Criteria Guidance'!A41" display="Is the prescribing for this consultation within current acceptable guidelines?" xr:uid="{00000000-0004-0000-0100-000006000000}"/>
    <hyperlink ref="A15" location="'Criteria Guidance'!A47" display="Appropriate advice given regarding common side effects/interactions?" xr:uid="{00000000-0004-0000-0100-000007000000}"/>
    <hyperlink ref="A16" location="'Criteria Guidance'!A53" display="Has there been an up to date medicines review?" xr:uid="{00000000-0004-0000-0100-000008000000}"/>
    <hyperlink ref="A18" location="'Criteria Guidance'!A59" display="Follows formally agreed clinical practice guidelines &amp; procedures (national &amp; local) including appropriate referrals made?" xr:uid="{00000000-0004-0000-0100-000009000000}"/>
    <hyperlink ref="A19" location="'Criteria Guidance'!A65" display="Is there a record in sufficient detail of the continuing care arrangements and / or safety net plan?" xr:uid="{00000000-0004-0000-0100-00000A000000}"/>
    <hyperlink ref="C4" location="'Record Report'!B27" display="1" xr:uid="{00000000-0004-0000-0100-00000B000000}"/>
    <hyperlink ref="D4" location="'Record Report'!B24" display="2" xr:uid="{00000000-0004-0000-0100-00000C000000}"/>
    <hyperlink ref="E4" location="'Record Report'!B61" display="3" xr:uid="{00000000-0004-0000-0100-00000D000000}"/>
    <hyperlink ref="F4" location="'Record Report'!B78" display="4" xr:uid="{00000000-0004-0000-0100-00000E000000}"/>
    <hyperlink ref="G4" location="'Record Report'!B95" display="'Record Report'!B95" xr:uid="{00000000-0004-0000-0100-00000F000000}"/>
    <hyperlink ref="H4" location="'Record Report'!B112" display="6" xr:uid="{00000000-0004-0000-0100-000010000000}"/>
    <hyperlink ref="I4" location="'Record Report'!B129" display="7" xr:uid="{00000000-0004-0000-0100-000011000000}"/>
    <hyperlink ref="J4" location="'Record Audit'!B146" display="8" xr:uid="{00000000-0004-0000-0100-000012000000}"/>
    <hyperlink ref="K4" location="'Record Audit'!B163" display="9" xr:uid="{00000000-0004-0000-0100-000013000000}"/>
    <hyperlink ref="L4" location="'Record Audit'!B180" display="10" xr:uid="{00000000-0004-0000-0100-000014000000}"/>
    <hyperlink ref="M4" location="'Record Audit'!B197" display="11" xr:uid="{00000000-0004-0000-0100-000015000000}"/>
    <hyperlink ref="N4" location="'Record Audit'!B214" display="12" xr:uid="{00000000-0004-0000-0100-000016000000}"/>
    <hyperlink ref="O4" location="'Record Report'!B231" display="13" xr:uid="{00000000-0004-0000-0100-000017000000}"/>
    <hyperlink ref="P4" location="'Record Report'!B248" display="14" xr:uid="{00000000-0004-0000-0100-000018000000}"/>
    <hyperlink ref="Q4" location="'Record Report'!B265" display="15" xr:uid="{00000000-0004-0000-0100-000019000000}"/>
    <hyperlink ref="T4" location="'Record Report'!B316" display="18" xr:uid="{00000000-0004-0000-0100-00001A000000}"/>
    <hyperlink ref="X4" location="'Record Report'!B384" display="'Record Report'!B384" xr:uid="{00000000-0004-0000-0100-00001B000000}"/>
    <hyperlink ref="Z4" location="'Record Report'!B401" display="'Record Report'!B401" xr:uid="{00000000-0004-0000-0100-00001C000000}"/>
    <hyperlink ref="Y4" location="'Record Report'!B401" display="'Record Report'!B401" xr:uid="{00000000-0004-0000-0100-00001D000000}"/>
    <hyperlink ref="AA4" location="'Record Report'!B345" display="'Record Report'!B345" xr:uid="{00000000-0004-0000-0100-00001E000000}"/>
    <hyperlink ref="AC4" location="'Record Audit'!B469" display="'Record Audit'!B469" xr:uid="{00000000-0004-0000-0100-00001F000000}"/>
    <hyperlink ref="AD4" location="'Record Report'!B486" display="'Record Report'!B486" xr:uid="{00000000-0004-0000-0100-000020000000}"/>
    <hyperlink ref="AE4" location="'Record Report'!B503" display="'Record Report'!B503" xr:uid="{00000000-0004-0000-0100-000021000000}"/>
    <hyperlink ref="AF4" location="'Record Report'!B520" display="'Record Report'!B520" xr:uid="{00000000-0004-0000-0100-000022000000}"/>
    <hyperlink ref="A21" location="'Criteria Guidance'!B69" display="Have all the radiology and pathology results been acted on appropriately?" xr:uid="{00000000-0004-0000-0100-000023000000}"/>
    <hyperlink ref="S4" location="'Record Report'!B299" display="17" xr:uid="{00000000-0004-0000-0100-000024000000}"/>
    <hyperlink ref="R4" location="'Record Audit'!B282" display="16" xr:uid="{00000000-0004-0000-0100-000025000000}"/>
    <hyperlink ref="U4" location="'Record Audit'!B333" display="19" xr:uid="{00000000-0004-0000-0100-000026000000}"/>
    <hyperlink ref="V4" location="'Record Report'!B350" display="'Record Report'!B350" xr:uid="{00000000-0004-0000-0100-000027000000}"/>
    <hyperlink ref="W4" location="'Record Report'!AB367" display="'Record Report'!AB367" xr:uid="{00000000-0004-0000-0100-000028000000}"/>
    <hyperlink ref="AB4" location="'Record Report'!B452" display="'Record Report'!B452" xr:uid="{00000000-0004-0000-0100-000029000000}"/>
  </hyperlinks>
  <pageMargins left="0.55118110236220474" right="0.51181102362204722" top="0.98425196850393704" bottom="0.37" header="0.49" footer="0.42"/>
  <pageSetup paperSize="9" scale="82" orientation="landscape" r:id="rId1"/>
  <headerFooter alignWithMargins="0">
    <oddHeader>&amp;C&amp;"Arial,Bold"&amp;12Contractor Audit of Performer Records</oddHeader>
  </headerFooter>
  <ignoredErrors>
    <ignoredError sqref="V24:AF24" formulaRange="1"/>
    <ignoredError sqref="C4:G4 I4:L4 N4:U4" numberStoredAsText="1"/>
    <ignoredError sqref="AK7:AK8 AK9:AK12 AK14:AK16 AK18:AK19 AK21" evalError="1"/>
  </ignoredError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tabColor rgb="FF7030A0"/>
    <pageSetUpPr fitToPage="1"/>
  </sheetPr>
  <dimension ref="B1:I247"/>
  <sheetViews>
    <sheetView showGridLines="0" topLeftCell="A84" zoomScale="120" zoomScaleNormal="120" workbookViewId="0">
      <selection activeCell="H6" sqref="H6:I6"/>
    </sheetView>
  </sheetViews>
  <sheetFormatPr defaultRowHeight="12.75" x14ac:dyDescent="0.35"/>
  <cols>
    <col min="1" max="1" width="9.1328125" customWidth="1"/>
    <col min="2" max="2" width="32.3984375" customWidth="1"/>
    <col min="3" max="3" width="22.59765625" customWidth="1"/>
    <col min="4" max="4" width="12.3984375" customWidth="1"/>
    <col min="5" max="7" width="9.1328125" customWidth="1"/>
    <col min="9" max="9" width="10.59765625" bestFit="1" customWidth="1"/>
  </cols>
  <sheetData>
    <row r="1" spans="2:9" ht="15" x14ac:dyDescent="0.4">
      <c r="B1" s="142" t="s">
        <v>69</v>
      </c>
    </row>
    <row r="2" spans="2:9" ht="13.15" thickBot="1" x14ac:dyDescent="0.4"/>
    <row r="3" spans="2:9" ht="13.15" x14ac:dyDescent="0.4">
      <c r="B3" s="126" t="s">
        <v>70</v>
      </c>
      <c r="C3" s="132">
        <v>10</v>
      </c>
      <c r="D3" s="297">
        <f>'Record Audit'!$AA$1</f>
        <v>0</v>
      </c>
      <c r="E3" s="298"/>
      <c r="F3" s="89"/>
      <c r="G3" s="89"/>
      <c r="H3" s="89"/>
      <c r="I3" s="90"/>
    </row>
    <row r="4" spans="2:9" ht="13.15" x14ac:dyDescent="0.4">
      <c r="B4" s="94" t="s">
        <v>10</v>
      </c>
      <c r="C4" s="131"/>
      <c r="D4" s="28"/>
      <c r="E4" s="28"/>
      <c r="I4" s="91"/>
    </row>
    <row r="5" spans="2:9" ht="13.15" x14ac:dyDescent="0.4">
      <c r="B5" s="94" t="s">
        <v>71</v>
      </c>
      <c r="C5" s="155"/>
      <c r="D5" s="28"/>
      <c r="E5" s="48" t="s">
        <v>72</v>
      </c>
      <c r="F5" s="49"/>
      <c r="G5" s="26"/>
      <c r="H5" s="283"/>
      <c r="I5" s="284"/>
    </row>
    <row r="6" spans="2:9" ht="13.15" x14ac:dyDescent="0.4">
      <c r="B6" s="114" t="s">
        <v>73</v>
      </c>
      <c r="C6" s="133"/>
      <c r="D6" s="28"/>
      <c r="E6" s="48" t="s">
        <v>74</v>
      </c>
      <c r="F6" s="49"/>
      <c r="G6" s="26"/>
      <c r="H6" s="283"/>
      <c r="I6" s="284"/>
    </row>
    <row r="7" spans="2:9" ht="13.15" thickBot="1" x14ac:dyDescent="0.4">
      <c r="B7" s="127"/>
      <c r="C7" s="128"/>
      <c r="D7" s="128"/>
      <c r="E7" s="289" t="s">
        <v>75</v>
      </c>
      <c r="F7" s="290"/>
      <c r="G7" s="290"/>
      <c r="H7" s="290" t="s">
        <v>76</v>
      </c>
      <c r="I7" s="291"/>
    </row>
    <row r="8" spans="2:9" ht="13.15" thickBot="1" x14ac:dyDescent="0.4"/>
    <row r="9" spans="2:9" ht="13.15" x14ac:dyDescent="0.4">
      <c r="B9" s="292" t="s">
        <v>77</v>
      </c>
      <c r="C9" s="293"/>
      <c r="D9" s="293"/>
      <c r="E9" s="293"/>
      <c r="F9" s="293"/>
      <c r="G9" s="293"/>
      <c r="H9" s="294"/>
      <c r="I9" s="129" t="s">
        <v>78</v>
      </c>
    </row>
    <row r="10" spans="2:9" x14ac:dyDescent="0.35">
      <c r="B10" s="285" t="s">
        <v>79</v>
      </c>
      <c r="C10" s="264"/>
      <c r="D10" s="264"/>
      <c r="E10" s="264"/>
      <c r="F10" s="264"/>
      <c r="G10" s="264"/>
      <c r="H10" s="264"/>
      <c r="I10" s="265"/>
    </row>
    <row r="11" spans="2:9" x14ac:dyDescent="0.35">
      <c r="B11" s="266"/>
      <c r="C11" s="267"/>
      <c r="D11" s="267"/>
      <c r="E11" s="267"/>
      <c r="F11" s="267"/>
      <c r="G11" s="267"/>
      <c r="H11" s="267"/>
      <c r="I11" s="268"/>
    </row>
    <row r="12" spans="2:9" x14ac:dyDescent="0.35">
      <c r="B12" s="266"/>
      <c r="C12" s="267"/>
      <c r="D12" s="267"/>
      <c r="E12" s="267"/>
      <c r="F12" s="267"/>
      <c r="G12" s="267"/>
      <c r="H12" s="267"/>
      <c r="I12" s="268"/>
    </row>
    <row r="13" spans="2:9" x14ac:dyDescent="0.35">
      <c r="B13" s="266"/>
      <c r="C13" s="267"/>
      <c r="D13" s="267"/>
      <c r="E13" s="267"/>
      <c r="F13" s="267"/>
      <c r="G13" s="267"/>
      <c r="H13" s="267"/>
      <c r="I13" s="268"/>
    </row>
    <row r="14" spans="2:9" x14ac:dyDescent="0.35">
      <c r="B14" s="266"/>
      <c r="C14" s="267"/>
      <c r="D14" s="267"/>
      <c r="E14" s="267"/>
      <c r="F14" s="267"/>
      <c r="G14" s="267"/>
      <c r="H14" s="267"/>
      <c r="I14" s="268"/>
    </row>
    <row r="15" spans="2:9" x14ac:dyDescent="0.35">
      <c r="B15" s="286"/>
      <c r="C15" s="287"/>
      <c r="D15" s="287"/>
      <c r="E15" s="287"/>
      <c r="F15" s="287"/>
      <c r="G15" s="287"/>
      <c r="H15" s="287"/>
      <c r="I15" s="288"/>
    </row>
    <row r="16" spans="2:9" ht="13.15" x14ac:dyDescent="0.4">
      <c r="B16" s="295" t="s">
        <v>80</v>
      </c>
      <c r="C16" s="296"/>
      <c r="D16" s="296"/>
      <c r="E16" s="296"/>
      <c r="F16" s="296"/>
      <c r="G16" s="296"/>
      <c r="H16" s="176"/>
      <c r="I16" s="130" t="s">
        <v>78</v>
      </c>
    </row>
    <row r="17" spans="2:9" x14ac:dyDescent="0.35">
      <c r="B17" s="263" t="s">
        <v>81</v>
      </c>
      <c r="C17" s="264"/>
      <c r="D17" s="264"/>
      <c r="E17" s="264"/>
      <c r="F17" s="264"/>
      <c r="G17" s="264"/>
      <c r="H17" s="264"/>
      <c r="I17" s="265"/>
    </row>
    <row r="18" spans="2:9" x14ac:dyDescent="0.35">
      <c r="B18" s="266"/>
      <c r="C18" s="267"/>
      <c r="D18" s="267"/>
      <c r="E18" s="267"/>
      <c r="F18" s="267"/>
      <c r="G18" s="267"/>
      <c r="H18" s="267"/>
      <c r="I18" s="268"/>
    </row>
    <row r="19" spans="2:9" x14ac:dyDescent="0.35">
      <c r="B19" s="266"/>
      <c r="C19" s="267"/>
      <c r="D19" s="267"/>
      <c r="E19" s="267"/>
      <c r="F19" s="267"/>
      <c r="G19" s="267"/>
      <c r="H19" s="267"/>
      <c r="I19" s="268"/>
    </row>
    <row r="20" spans="2:9" x14ac:dyDescent="0.35">
      <c r="B20" s="266"/>
      <c r="C20" s="267"/>
      <c r="D20" s="267"/>
      <c r="E20" s="267"/>
      <c r="F20" s="267"/>
      <c r="G20" s="267"/>
      <c r="H20" s="267"/>
      <c r="I20" s="268"/>
    </row>
    <row r="21" spans="2:9" x14ac:dyDescent="0.35">
      <c r="B21" s="266"/>
      <c r="C21" s="267"/>
      <c r="D21" s="267"/>
      <c r="E21" s="267"/>
      <c r="F21" s="267"/>
      <c r="G21" s="267"/>
      <c r="H21" s="267"/>
      <c r="I21" s="268"/>
    </row>
    <row r="22" spans="2:9" ht="13.15" thickBot="1" x14ac:dyDescent="0.4">
      <c r="B22" s="269"/>
      <c r="C22" s="270"/>
      <c r="D22" s="270"/>
      <c r="E22" s="270"/>
      <c r="F22" s="270"/>
      <c r="G22" s="270"/>
      <c r="H22" s="270"/>
      <c r="I22" s="271"/>
    </row>
    <row r="24" spans="2:9" ht="13.15" thickBot="1" x14ac:dyDescent="0.4"/>
    <row r="25" spans="2:9" ht="13.5" thickBot="1" x14ac:dyDescent="0.45">
      <c r="B25" s="88" t="s">
        <v>82</v>
      </c>
      <c r="C25" s="149" t="s">
        <v>83</v>
      </c>
      <c r="D25" s="110"/>
      <c r="E25" s="89"/>
      <c r="F25" s="89"/>
      <c r="G25" s="251" t="s">
        <v>1</v>
      </c>
      <c r="H25" s="252"/>
      <c r="I25" s="253"/>
    </row>
    <row r="26" spans="2:9" ht="12.75" customHeight="1" x14ac:dyDescent="0.35">
      <c r="B26" s="224" t="s">
        <v>84</v>
      </c>
      <c r="C26" s="225"/>
      <c r="H26" s="147" t="s">
        <v>85</v>
      </c>
      <c r="I26" s="91"/>
    </row>
    <row r="27" spans="2:9" x14ac:dyDescent="0.35">
      <c r="B27" s="92">
        <v>1</v>
      </c>
      <c r="I27" s="91"/>
    </row>
    <row r="28" spans="2:9" x14ac:dyDescent="0.35">
      <c r="B28" s="93" t="s">
        <v>86</v>
      </c>
      <c r="C28" s="26">
        <f>'Record Audit'!D2</f>
        <v>0</v>
      </c>
      <c r="G28" s="50" t="s">
        <v>87</v>
      </c>
      <c r="H28" s="50"/>
      <c r="I28" s="156">
        <f>'Record Audit'!D3</f>
        <v>0</v>
      </c>
    </row>
    <row r="29" spans="2:9" x14ac:dyDescent="0.35">
      <c r="B29" s="94"/>
      <c r="I29" s="91"/>
    </row>
    <row r="30" spans="2:9" x14ac:dyDescent="0.35">
      <c r="B30" s="95" t="s">
        <v>88</v>
      </c>
      <c r="C30" s="27"/>
      <c r="D30" s="27"/>
      <c r="E30" s="27"/>
      <c r="F30" s="27"/>
      <c r="G30" s="27"/>
      <c r="H30" s="27"/>
      <c r="I30" s="96"/>
    </row>
    <row r="31" spans="2:9" x14ac:dyDescent="0.35">
      <c r="B31" s="228"/>
      <c r="C31" s="229"/>
      <c r="D31" s="229"/>
      <c r="E31" s="229"/>
      <c r="F31" s="229"/>
      <c r="G31" s="229"/>
      <c r="H31" s="229"/>
      <c r="I31" s="230"/>
    </row>
    <row r="32" spans="2:9" x14ac:dyDescent="0.35">
      <c r="B32" s="231"/>
      <c r="C32" s="229"/>
      <c r="D32" s="229"/>
      <c r="E32" s="229"/>
      <c r="F32" s="229"/>
      <c r="G32" s="229"/>
      <c r="H32" s="229"/>
      <c r="I32" s="230"/>
    </row>
    <row r="33" spans="2:9" x14ac:dyDescent="0.35">
      <c r="B33" s="232"/>
      <c r="C33" s="233"/>
      <c r="D33" s="233"/>
      <c r="E33" s="233"/>
      <c r="F33" s="233"/>
      <c r="G33" s="233"/>
      <c r="H33" s="233"/>
      <c r="I33" s="234"/>
    </row>
    <row r="34" spans="2:9" ht="12.75" customHeight="1" x14ac:dyDescent="0.35">
      <c r="B34" s="97" t="s">
        <v>2</v>
      </c>
      <c r="C34" s="235" t="s">
        <v>89</v>
      </c>
      <c r="D34" s="236"/>
      <c r="E34" s="241" t="s">
        <v>90</v>
      </c>
      <c r="F34" s="242"/>
      <c r="G34" s="242"/>
      <c r="H34" s="242"/>
      <c r="I34" s="243"/>
    </row>
    <row r="35" spans="2:9" x14ac:dyDescent="0.35">
      <c r="B35" s="98"/>
      <c r="C35" s="237"/>
      <c r="D35" s="238"/>
      <c r="E35" s="244"/>
      <c r="F35" s="245"/>
      <c r="G35" s="245"/>
      <c r="H35" s="245"/>
      <c r="I35" s="246"/>
    </row>
    <row r="36" spans="2:9" x14ac:dyDescent="0.35">
      <c r="B36" s="99"/>
      <c r="C36" s="239"/>
      <c r="D36" s="240"/>
      <c r="E36" s="247"/>
      <c r="F36" s="229"/>
      <c r="G36" s="229"/>
      <c r="H36" s="229"/>
      <c r="I36" s="230"/>
    </row>
    <row r="37" spans="2:9" ht="13.15" thickBot="1" x14ac:dyDescent="0.4">
      <c r="B37" s="145"/>
      <c r="C37" s="226" t="s">
        <v>91</v>
      </c>
      <c r="D37" s="227"/>
      <c r="E37" s="247"/>
      <c r="F37" s="229"/>
      <c r="G37" s="229"/>
      <c r="H37" s="229"/>
      <c r="I37" s="230"/>
    </row>
    <row r="38" spans="2:9" x14ac:dyDescent="0.35">
      <c r="B38" s="100" t="s">
        <v>92</v>
      </c>
      <c r="C38" s="34">
        <f>'Record Audit'!C24</f>
        <v>0</v>
      </c>
      <c r="E38" s="247"/>
      <c r="F38" s="229"/>
      <c r="G38" s="229"/>
      <c r="H38" s="229"/>
      <c r="I38" s="230"/>
    </row>
    <row r="39" spans="2:9" x14ac:dyDescent="0.35">
      <c r="B39" s="100" t="s">
        <v>93</v>
      </c>
      <c r="C39" s="34">
        <f>'Record Audit'!C25</f>
        <v>0</v>
      </c>
      <c r="D39" s="146" t="s">
        <v>35</v>
      </c>
      <c r="E39" s="247"/>
      <c r="F39" s="229"/>
      <c r="G39" s="229"/>
      <c r="H39" s="229"/>
      <c r="I39" s="230"/>
    </row>
    <row r="40" spans="2:9" ht="13.15" thickBot="1" x14ac:dyDescent="0.4">
      <c r="B40" s="101" t="s">
        <v>94</v>
      </c>
      <c r="C40" s="102">
        <f>'Record Audit'!C26</f>
        <v>0</v>
      </c>
      <c r="D40" s="103"/>
      <c r="E40" s="248"/>
      <c r="F40" s="249"/>
      <c r="G40" s="249"/>
      <c r="H40" s="249"/>
      <c r="I40" s="250"/>
    </row>
    <row r="41" spans="2:9" ht="13.15" thickBot="1" x14ac:dyDescent="0.4"/>
    <row r="42" spans="2:9" ht="13.5" thickBot="1" x14ac:dyDescent="0.45">
      <c r="B42" s="88" t="s">
        <v>82</v>
      </c>
      <c r="C42" s="149" t="s">
        <v>83</v>
      </c>
      <c r="D42" s="89"/>
      <c r="E42" s="89"/>
      <c r="F42" s="89"/>
      <c r="G42" s="251" t="s">
        <v>1</v>
      </c>
      <c r="H42" s="252"/>
      <c r="I42" s="253"/>
    </row>
    <row r="43" spans="2:9" x14ac:dyDescent="0.35">
      <c r="B43" s="224" t="s">
        <v>84</v>
      </c>
      <c r="C43" s="225"/>
      <c r="H43" s="147" t="s">
        <v>85</v>
      </c>
      <c r="I43" s="91"/>
    </row>
    <row r="44" spans="2:9" x14ac:dyDescent="0.35">
      <c r="B44" s="92">
        <v>2</v>
      </c>
      <c r="I44" s="91"/>
    </row>
    <row r="45" spans="2:9" x14ac:dyDescent="0.35">
      <c r="B45" s="93" t="s">
        <v>86</v>
      </c>
      <c r="C45" s="108">
        <f>'Record Audit'!E2</f>
        <v>0</v>
      </c>
      <c r="G45" s="50" t="s">
        <v>87</v>
      </c>
      <c r="H45" s="50"/>
      <c r="I45" s="156">
        <f>'Record Audit'!E3</f>
        <v>0</v>
      </c>
    </row>
    <row r="46" spans="2:9" x14ac:dyDescent="0.35">
      <c r="B46" s="94"/>
      <c r="I46" s="91"/>
    </row>
    <row r="47" spans="2:9" x14ac:dyDescent="0.35">
      <c r="B47" s="95" t="s">
        <v>88</v>
      </c>
      <c r="C47" s="27"/>
      <c r="D47" s="27"/>
      <c r="E47" s="27"/>
      <c r="F47" s="27"/>
      <c r="G47" s="27"/>
      <c r="H47" s="27"/>
      <c r="I47" s="96"/>
    </row>
    <row r="48" spans="2:9" x14ac:dyDescent="0.35">
      <c r="B48" s="228"/>
      <c r="C48" s="229"/>
      <c r="D48" s="229"/>
      <c r="E48" s="229"/>
      <c r="F48" s="229"/>
      <c r="G48" s="229"/>
      <c r="H48" s="229"/>
      <c r="I48" s="230"/>
    </row>
    <row r="49" spans="2:9" x14ac:dyDescent="0.35">
      <c r="B49" s="231"/>
      <c r="C49" s="229"/>
      <c r="D49" s="229"/>
      <c r="E49" s="229"/>
      <c r="F49" s="229"/>
      <c r="G49" s="229"/>
      <c r="H49" s="229"/>
      <c r="I49" s="230"/>
    </row>
    <row r="50" spans="2:9" x14ac:dyDescent="0.35">
      <c r="B50" s="232"/>
      <c r="C50" s="233"/>
      <c r="D50" s="233"/>
      <c r="E50" s="233"/>
      <c r="F50" s="233"/>
      <c r="G50" s="233"/>
      <c r="H50" s="233"/>
      <c r="I50" s="234"/>
    </row>
    <row r="51" spans="2:9" ht="12.75" customHeight="1" x14ac:dyDescent="0.35">
      <c r="B51" s="97" t="s">
        <v>2</v>
      </c>
      <c r="C51" s="235" t="s">
        <v>89</v>
      </c>
      <c r="D51" s="236"/>
      <c r="E51" s="241" t="s">
        <v>90</v>
      </c>
      <c r="F51" s="242"/>
      <c r="G51" s="242"/>
      <c r="H51" s="242"/>
      <c r="I51" s="243"/>
    </row>
    <row r="52" spans="2:9" x14ac:dyDescent="0.35">
      <c r="B52" s="98"/>
      <c r="C52" s="237"/>
      <c r="D52" s="238"/>
      <c r="E52" s="244"/>
      <c r="F52" s="245"/>
      <c r="G52" s="245"/>
      <c r="H52" s="245"/>
      <c r="I52" s="246"/>
    </row>
    <row r="53" spans="2:9" x14ac:dyDescent="0.35">
      <c r="B53" s="99"/>
      <c r="C53" s="239"/>
      <c r="D53" s="240"/>
      <c r="E53" s="247"/>
      <c r="F53" s="229"/>
      <c r="G53" s="229"/>
      <c r="H53" s="229"/>
      <c r="I53" s="230"/>
    </row>
    <row r="54" spans="2:9" x14ac:dyDescent="0.35">
      <c r="B54" s="94"/>
      <c r="C54" s="226" t="s">
        <v>91</v>
      </c>
      <c r="D54" s="227"/>
      <c r="E54" s="247"/>
      <c r="F54" s="229"/>
      <c r="G54" s="229"/>
      <c r="H54" s="229"/>
      <c r="I54" s="230"/>
    </row>
    <row r="55" spans="2:9" x14ac:dyDescent="0.35">
      <c r="B55" s="100" t="s">
        <v>92</v>
      </c>
      <c r="C55" s="34">
        <f>'Record Audit'!D24</f>
        <v>0</v>
      </c>
      <c r="E55" s="247"/>
      <c r="F55" s="229"/>
      <c r="G55" s="229"/>
      <c r="H55" s="229"/>
      <c r="I55" s="230"/>
    </row>
    <row r="56" spans="2:9" x14ac:dyDescent="0.35">
      <c r="B56" s="100" t="s">
        <v>93</v>
      </c>
      <c r="C56" s="34">
        <f>'Record Audit'!D25</f>
        <v>0</v>
      </c>
      <c r="D56" s="146" t="s">
        <v>35</v>
      </c>
      <c r="E56" s="247"/>
      <c r="F56" s="229"/>
      <c r="G56" s="229"/>
      <c r="H56" s="229"/>
      <c r="I56" s="230"/>
    </row>
    <row r="57" spans="2:9" ht="13.15" thickBot="1" x14ac:dyDescent="0.4">
      <c r="B57" s="101" t="s">
        <v>94</v>
      </c>
      <c r="C57" s="102">
        <f>'Record Audit'!D26</f>
        <v>0</v>
      </c>
      <c r="D57" s="103"/>
      <c r="E57" s="248"/>
      <c r="F57" s="249"/>
      <c r="G57" s="249"/>
      <c r="H57" s="249"/>
      <c r="I57" s="250"/>
    </row>
    <row r="58" spans="2:9" ht="13.15" thickBot="1" x14ac:dyDescent="0.4"/>
    <row r="59" spans="2:9" ht="13.5" thickBot="1" x14ac:dyDescent="0.45">
      <c r="B59" s="88" t="s">
        <v>82</v>
      </c>
      <c r="C59" s="149" t="s">
        <v>95</v>
      </c>
      <c r="D59" s="89"/>
      <c r="E59" s="89"/>
      <c r="F59" s="89"/>
      <c r="G59" s="251" t="s">
        <v>1</v>
      </c>
      <c r="H59" s="252"/>
      <c r="I59" s="253"/>
    </row>
    <row r="60" spans="2:9" x14ac:dyDescent="0.35">
      <c r="B60" s="224" t="s">
        <v>84</v>
      </c>
      <c r="C60" s="225"/>
      <c r="H60" s="147" t="s">
        <v>85</v>
      </c>
      <c r="I60" s="91"/>
    </row>
    <row r="61" spans="2:9" x14ac:dyDescent="0.35">
      <c r="B61" s="92">
        <v>3</v>
      </c>
      <c r="I61" s="91"/>
    </row>
    <row r="62" spans="2:9" x14ac:dyDescent="0.35">
      <c r="B62" s="93" t="s">
        <v>86</v>
      </c>
      <c r="C62" s="108">
        <f>'Record Audit'!F2</f>
        <v>0</v>
      </c>
      <c r="G62" s="50" t="s">
        <v>87</v>
      </c>
      <c r="H62" s="50"/>
      <c r="I62" s="156">
        <f>'Record Audit'!F3</f>
        <v>0</v>
      </c>
    </row>
    <row r="63" spans="2:9" x14ac:dyDescent="0.35">
      <c r="B63" s="94"/>
      <c r="I63" s="91"/>
    </row>
    <row r="64" spans="2:9" x14ac:dyDescent="0.35">
      <c r="B64" s="95" t="s">
        <v>88</v>
      </c>
      <c r="C64" s="27"/>
      <c r="D64" s="27"/>
      <c r="E64" s="27"/>
      <c r="F64" s="27"/>
      <c r="G64" s="27"/>
      <c r="H64" s="27"/>
      <c r="I64" s="96"/>
    </row>
    <row r="65" spans="2:9" x14ac:dyDescent="0.35">
      <c r="B65" s="299"/>
      <c r="C65" s="229"/>
      <c r="D65" s="229"/>
      <c r="E65" s="229"/>
      <c r="F65" s="229"/>
      <c r="G65" s="229"/>
      <c r="H65" s="229"/>
      <c r="I65" s="230"/>
    </row>
    <row r="66" spans="2:9" x14ac:dyDescent="0.35">
      <c r="B66" s="231"/>
      <c r="C66" s="229"/>
      <c r="D66" s="229"/>
      <c r="E66" s="229"/>
      <c r="F66" s="229"/>
      <c r="G66" s="229"/>
      <c r="H66" s="229"/>
      <c r="I66" s="230"/>
    </row>
    <row r="67" spans="2:9" x14ac:dyDescent="0.35">
      <c r="B67" s="232"/>
      <c r="C67" s="233"/>
      <c r="D67" s="233"/>
      <c r="E67" s="233"/>
      <c r="F67" s="233"/>
      <c r="G67" s="233"/>
      <c r="H67" s="233"/>
      <c r="I67" s="234"/>
    </row>
    <row r="68" spans="2:9" ht="12.75" customHeight="1" x14ac:dyDescent="0.35">
      <c r="B68" s="97" t="s">
        <v>2</v>
      </c>
      <c r="C68" s="235" t="s">
        <v>89</v>
      </c>
      <c r="D68" s="236"/>
      <c r="E68" s="241" t="s">
        <v>90</v>
      </c>
      <c r="F68" s="242"/>
      <c r="G68" s="242"/>
      <c r="H68" s="242"/>
      <c r="I68" s="243"/>
    </row>
    <row r="69" spans="2:9" x14ac:dyDescent="0.35">
      <c r="B69" s="98"/>
      <c r="C69" s="237"/>
      <c r="D69" s="238"/>
      <c r="E69" s="244"/>
      <c r="F69" s="245"/>
      <c r="G69" s="245"/>
      <c r="H69" s="245"/>
      <c r="I69" s="246"/>
    </row>
    <row r="70" spans="2:9" x14ac:dyDescent="0.35">
      <c r="B70" s="99"/>
      <c r="C70" s="239"/>
      <c r="D70" s="240"/>
      <c r="E70" s="247"/>
      <c r="F70" s="229"/>
      <c r="G70" s="229"/>
      <c r="H70" s="229"/>
      <c r="I70" s="230"/>
    </row>
    <row r="71" spans="2:9" x14ac:dyDescent="0.35">
      <c r="B71" s="94"/>
      <c r="C71" s="226" t="s">
        <v>91</v>
      </c>
      <c r="D71" s="227"/>
      <c r="E71" s="247"/>
      <c r="F71" s="229"/>
      <c r="G71" s="229"/>
      <c r="H71" s="229"/>
      <c r="I71" s="230"/>
    </row>
    <row r="72" spans="2:9" x14ac:dyDescent="0.35">
      <c r="B72" s="100" t="s">
        <v>92</v>
      </c>
      <c r="C72" s="34">
        <f>'Record Audit'!E24</f>
        <v>0</v>
      </c>
      <c r="E72" s="247"/>
      <c r="F72" s="229"/>
      <c r="G72" s="229"/>
      <c r="H72" s="229"/>
      <c r="I72" s="230"/>
    </row>
    <row r="73" spans="2:9" x14ac:dyDescent="0.35">
      <c r="B73" s="100" t="s">
        <v>93</v>
      </c>
      <c r="C73" s="34">
        <f>'Record Audit'!E25</f>
        <v>0</v>
      </c>
      <c r="D73" s="146" t="s">
        <v>35</v>
      </c>
      <c r="E73" s="247"/>
      <c r="F73" s="229"/>
      <c r="G73" s="229"/>
      <c r="H73" s="229"/>
      <c r="I73" s="230"/>
    </row>
    <row r="74" spans="2:9" ht="13.15" thickBot="1" x14ac:dyDescent="0.4">
      <c r="B74" s="101" t="s">
        <v>94</v>
      </c>
      <c r="C74" s="102">
        <f>'Record Audit'!E26</f>
        <v>0</v>
      </c>
      <c r="D74" s="103"/>
      <c r="E74" s="248"/>
      <c r="F74" s="249"/>
      <c r="G74" s="249"/>
      <c r="H74" s="249"/>
      <c r="I74" s="250"/>
    </row>
    <row r="75" spans="2:9" ht="13.15" thickBot="1" x14ac:dyDescent="0.4"/>
    <row r="76" spans="2:9" ht="13.5" thickBot="1" x14ac:dyDescent="0.45">
      <c r="B76" s="88" t="s">
        <v>82</v>
      </c>
      <c r="C76" s="149" t="s">
        <v>83</v>
      </c>
      <c r="D76" s="89"/>
      <c r="E76" s="89"/>
      <c r="F76" s="89"/>
      <c r="G76" s="251" t="s">
        <v>1</v>
      </c>
      <c r="H76" s="252"/>
      <c r="I76" s="253"/>
    </row>
    <row r="77" spans="2:9" x14ac:dyDescent="0.35">
      <c r="B77" s="224" t="s">
        <v>84</v>
      </c>
      <c r="C77" s="225"/>
      <c r="H77" s="147" t="s">
        <v>85</v>
      </c>
      <c r="I77" s="91"/>
    </row>
    <row r="78" spans="2:9" x14ac:dyDescent="0.35">
      <c r="B78" s="92">
        <v>4</v>
      </c>
      <c r="I78" s="91"/>
    </row>
    <row r="79" spans="2:9" x14ac:dyDescent="0.35">
      <c r="B79" s="93" t="s">
        <v>86</v>
      </c>
      <c r="C79" s="108">
        <f>'Record Audit'!G2</f>
        <v>0</v>
      </c>
      <c r="G79" s="50" t="s">
        <v>87</v>
      </c>
      <c r="H79" s="50"/>
      <c r="I79" s="156">
        <f>'Record Audit'!G3</f>
        <v>0</v>
      </c>
    </row>
    <row r="80" spans="2:9" x14ac:dyDescent="0.35">
      <c r="B80" s="94"/>
      <c r="I80" s="91"/>
    </row>
    <row r="81" spans="2:9" x14ac:dyDescent="0.35">
      <c r="B81" s="95" t="s">
        <v>88</v>
      </c>
      <c r="C81" s="27"/>
      <c r="D81" s="27"/>
      <c r="E81" s="27"/>
      <c r="F81" s="27"/>
      <c r="G81" s="27"/>
      <c r="H81" s="27"/>
      <c r="I81" s="96"/>
    </row>
    <row r="82" spans="2:9" x14ac:dyDescent="0.35">
      <c r="B82" s="228"/>
      <c r="C82" s="229"/>
      <c r="D82" s="229"/>
      <c r="E82" s="229"/>
      <c r="F82" s="229"/>
      <c r="G82" s="229"/>
      <c r="H82" s="229"/>
      <c r="I82" s="230"/>
    </row>
    <row r="83" spans="2:9" x14ac:dyDescent="0.35">
      <c r="B83" s="231"/>
      <c r="C83" s="229"/>
      <c r="D83" s="229"/>
      <c r="E83" s="229"/>
      <c r="F83" s="229"/>
      <c r="G83" s="229"/>
      <c r="H83" s="229"/>
      <c r="I83" s="230"/>
    </row>
    <row r="84" spans="2:9" x14ac:dyDescent="0.35">
      <c r="B84" s="232"/>
      <c r="C84" s="233"/>
      <c r="D84" s="233"/>
      <c r="E84" s="233"/>
      <c r="F84" s="233"/>
      <c r="G84" s="233"/>
      <c r="H84" s="233"/>
      <c r="I84" s="234"/>
    </row>
    <row r="85" spans="2:9" ht="12.75" customHeight="1" x14ac:dyDescent="0.35">
      <c r="B85" s="97" t="s">
        <v>2</v>
      </c>
      <c r="C85" s="235" t="s">
        <v>89</v>
      </c>
      <c r="D85" s="236"/>
      <c r="E85" s="241" t="s">
        <v>90</v>
      </c>
      <c r="F85" s="242"/>
      <c r="G85" s="242"/>
      <c r="H85" s="242"/>
      <c r="I85" s="243"/>
    </row>
    <row r="86" spans="2:9" x14ac:dyDescent="0.35">
      <c r="B86" s="98"/>
      <c r="C86" s="237"/>
      <c r="D86" s="238"/>
      <c r="E86" s="244"/>
      <c r="F86" s="245"/>
      <c r="G86" s="245"/>
      <c r="H86" s="245"/>
      <c r="I86" s="246"/>
    </row>
    <row r="87" spans="2:9" x14ac:dyDescent="0.35">
      <c r="B87" s="99"/>
      <c r="C87" s="239"/>
      <c r="D87" s="240"/>
      <c r="E87" s="247"/>
      <c r="F87" s="229"/>
      <c r="G87" s="229"/>
      <c r="H87" s="229"/>
      <c r="I87" s="230"/>
    </row>
    <row r="88" spans="2:9" x14ac:dyDescent="0.35">
      <c r="B88" s="94"/>
      <c r="C88" s="226" t="s">
        <v>91</v>
      </c>
      <c r="D88" s="227"/>
      <c r="E88" s="247"/>
      <c r="F88" s="229"/>
      <c r="G88" s="229"/>
      <c r="H88" s="229"/>
      <c r="I88" s="230"/>
    </row>
    <row r="89" spans="2:9" x14ac:dyDescent="0.35">
      <c r="B89" s="104" t="s">
        <v>92</v>
      </c>
      <c r="C89" s="35">
        <f>'Record Audit'!F24</f>
        <v>0</v>
      </c>
      <c r="E89" s="247"/>
      <c r="F89" s="229"/>
      <c r="G89" s="229"/>
      <c r="H89" s="229"/>
      <c r="I89" s="230"/>
    </row>
    <row r="90" spans="2:9" x14ac:dyDescent="0.35">
      <c r="B90" s="104" t="s">
        <v>93</v>
      </c>
      <c r="C90" s="35">
        <f>'Record Audit'!F25</f>
        <v>0</v>
      </c>
      <c r="D90" s="146" t="s">
        <v>35</v>
      </c>
      <c r="E90" s="247"/>
      <c r="F90" s="229"/>
      <c r="G90" s="229"/>
      <c r="H90" s="229"/>
      <c r="I90" s="230"/>
    </row>
    <row r="91" spans="2:9" ht="13.15" thickBot="1" x14ac:dyDescent="0.4">
      <c r="B91" s="105" t="s">
        <v>94</v>
      </c>
      <c r="C91" s="106">
        <f>'Record Audit'!F26</f>
        <v>0</v>
      </c>
      <c r="D91" s="103"/>
      <c r="E91" s="248"/>
      <c r="F91" s="249"/>
      <c r="G91" s="249"/>
      <c r="H91" s="249"/>
      <c r="I91" s="250"/>
    </row>
    <row r="92" spans="2:9" ht="13.15" thickBot="1" x14ac:dyDescent="0.4"/>
    <row r="93" spans="2:9" ht="13.5" thickBot="1" x14ac:dyDescent="0.45">
      <c r="B93" s="88" t="s">
        <v>82</v>
      </c>
      <c r="C93" s="149" t="s">
        <v>95</v>
      </c>
      <c r="D93" s="89"/>
      <c r="E93" s="89"/>
      <c r="F93" s="89"/>
      <c r="G93" s="251" t="s">
        <v>1</v>
      </c>
      <c r="H93" s="252"/>
      <c r="I93" s="253"/>
    </row>
    <row r="94" spans="2:9" x14ac:dyDescent="0.35">
      <c r="B94" s="224" t="s">
        <v>84</v>
      </c>
      <c r="C94" s="225"/>
      <c r="H94" s="147" t="s">
        <v>85</v>
      </c>
      <c r="I94" s="91"/>
    </row>
    <row r="95" spans="2:9" x14ac:dyDescent="0.35">
      <c r="B95" s="92">
        <v>5</v>
      </c>
      <c r="I95" s="91"/>
    </row>
    <row r="96" spans="2:9" x14ac:dyDescent="0.35">
      <c r="B96" s="93" t="s">
        <v>86</v>
      </c>
      <c r="C96" s="108">
        <f>'Record Audit'!H2</f>
        <v>0</v>
      </c>
      <c r="G96" s="50" t="s">
        <v>87</v>
      </c>
      <c r="H96" s="50"/>
      <c r="I96" s="156">
        <f>'Record Audit'!H3</f>
        <v>0</v>
      </c>
    </row>
    <row r="97" spans="2:9" x14ac:dyDescent="0.35">
      <c r="B97" s="94"/>
      <c r="I97" s="91"/>
    </row>
    <row r="98" spans="2:9" x14ac:dyDescent="0.35">
      <c r="B98" s="95" t="s">
        <v>88</v>
      </c>
      <c r="C98" s="27"/>
      <c r="D98" s="27"/>
      <c r="E98" s="27"/>
      <c r="F98" s="27"/>
      <c r="G98" s="27"/>
      <c r="H98" s="27"/>
      <c r="I98" s="96"/>
    </row>
    <row r="99" spans="2:9" x14ac:dyDescent="0.35">
      <c r="B99" s="228"/>
      <c r="C99" s="229"/>
      <c r="D99" s="229"/>
      <c r="E99" s="229"/>
      <c r="F99" s="229"/>
      <c r="G99" s="229"/>
      <c r="H99" s="229"/>
      <c r="I99" s="230"/>
    </row>
    <row r="100" spans="2:9" x14ac:dyDescent="0.35">
      <c r="B100" s="231"/>
      <c r="C100" s="229"/>
      <c r="D100" s="229"/>
      <c r="E100" s="229"/>
      <c r="F100" s="229"/>
      <c r="G100" s="229"/>
      <c r="H100" s="229"/>
      <c r="I100" s="230"/>
    </row>
    <row r="101" spans="2:9" x14ac:dyDescent="0.35">
      <c r="B101" s="232"/>
      <c r="C101" s="233"/>
      <c r="D101" s="233"/>
      <c r="E101" s="233"/>
      <c r="F101" s="233"/>
      <c r="G101" s="233"/>
      <c r="H101" s="233"/>
      <c r="I101" s="234"/>
    </row>
    <row r="102" spans="2:9" ht="12.75" customHeight="1" x14ac:dyDescent="0.35">
      <c r="B102" s="97" t="s">
        <v>2</v>
      </c>
      <c r="C102" s="235" t="s">
        <v>89</v>
      </c>
      <c r="D102" s="236"/>
      <c r="E102" s="241" t="s">
        <v>90</v>
      </c>
      <c r="F102" s="242"/>
      <c r="G102" s="242"/>
      <c r="H102" s="242"/>
      <c r="I102" s="243"/>
    </row>
    <row r="103" spans="2:9" x14ac:dyDescent="0.35">
      <c r="B103" s="98"/>
      <c r="C103" s="237"/>
      <c r="D103" s="238"/>
      <c r="E103" s="244"/>
      <c r="F103" s="245"/>
      <c r="G103" s="245"/>
      <c r="H103" s="245"/>
      <c r="I103" s="246"/>
    </row>
    <row r="104" spans="2:9" x14ac:dyDescent="0.35">
      <c r="B104" s="99"/>
      <c r="C104" s="239"/>
      <c r="D104" s="240"/>
      <c r="E104" s="247"/>
      <c r="F104" s="229"/>
      <c r="G104" s="229"/>
      <c r="H104" s="229"/>
      <c r="I104" s="230"/>
    </row>
    <row r="105" spans="2:9" x14ac:dyDescent="0.35">
      <c r="B105" s="94"/>
      <c r="C105" s="226" t="s">
        <v>91</v>
      </c>
      <c r="D105" s="227"/>
      <c r="E105" s="247"/>
      <c r="F105" s="229"/>
      <c r="G105" s="229"/>
      <c r="H105" s="229"/>
      <c r="I105" s="230"/>
    </row>
    <row r="106" spans="2:9" x14ac:dyDescent="0.35">
      <c r="B106" s="104" t="s">
        <v>92</v>
      </c>
      <c r="C106" s="35">
        <f>'Record Audit'!G24</f>
        <v>0</v>
      </c>
      <c r="E106" s="247"/>
      <c r="F106" s="229"/>
      <c r="G106" s="229"/>
      <c r="H106" s="229"/>
      <c r="I106" s="230"/>
    </row>
    <row r="107" spans="2:9" x14ac:dyDescent="0.35">
      <c r="B107" s="104" t="s">
        <v>93</v>
      </c>
      <c r="C107" s="35">
        <f>'Record Audit'!G25</f>
        <v>0</v>
      </c>
      <c r="D107" s="146" t="s">
        <v>35</v>
      </c>
      <c r="E107" s="247"/>
      <c r="F107" s="229"/>
      <c r="G107" s="229"/>
      <c r="H107" s="229"/>
      <c r="I107" s="230"/>
    </row>
    <row r="108" spans="2:9" ht="13.15" thickBot="1" x14ac:dyDescent="0.4">
      <c r="B108" s="105" t="s">
        <v>94</v>
      </c>
      <c r="C108" s="106">
        <f>'Record Audit'!G26</f>
        <v>0</v>
      </c>
      <c r="D108" s="103">
        <f>'Record Audit'!$G$22</f>
        <v>0</v>
      </c>
      <c r="E108" s="248"/>
      <c r="F108" s="249"/>
      <c r="G108" s="249"/>
      <c r="H108" s="249"/>
      <c r="I108" s="250"/>
    </row>
    <row r="109" spans="2:9" ht="13.15" thickBot="1" x14ac:dyDescent="0.4"/>
    <row r="110" spans="2:9" ht="13.5" thickBot="1" x14ac:dyDescent="0.45">
      <c r="B110" s="88" t="s">
        <v>82</v>
      </c>
      <c r="C110" s="149" t="s">
        <v>83</v>
      </c>
      <c r="D110" s="89"/>
      <c r="E110" s="89"/>
      <c r="F110" s="89"/>
      <c r="G110" s="251" t="s">
        <v>1</v>
      </c>
      <c r="H110" s="252"/>
      <c r="I110" s="253"/>
    </row>
    <row r="111" spans="2:9" x14ac:dyDescent="0.35">
      <c r="B111" s="224" t="s">
        <v>84</v>
      </c>
      <c r="C111" s="225"/>
      <c r="H111" s="147" t="s">
        <v>85</v>
      </c>
      <c r="I111" s="91"/>
    </row>
    <row r="112" spans="2:9" x14ac:dyDescent="0.35">
      <c r="B112" s="92">
        <v>6</v>
      </c>
      <c r="I112" s="91"/>
    </row>
    <row r="113" spans="2:9" x14ac:dyDescent="0.35">
      <c r="B113" s="93" t="s">
        <v>86</v>
      </c>
      <c r="C113" s="108">
        <f>'Record Audit'!I2</f>
        <v>0</v>
      </c>
      <c r="G113" s="50" t="s">
        <v>87</v>
      </c>
      <c r="H113" s="50"/>
      <c r="I113" s="156">
        <f>'Record Audit'!I3</f>
        <v>0</v>
      </c>
    </row>
    <row r="114" spans="2:9" x14ac:dyDescent="0.35">
      <c r="B114" s="94"/>
      <c r="I114" s="91"/>
    </row>
    <row r="115" spans="2:9" x14ac:dyDescent="0.35">
      <c r="B115" s="95" t="s">
        <v>88</v>
      </c>
      <c r="C115" s="27"/>
      <c r="D115" s="27"/>
      <c r="E115" s="27"/>
      <c r="F115" s="27"/>
      <c r="G115" s="27"/>
      <c r="H115" s="27"/>
      <c r="I115" s="96"/>
    </row>
    <row r="116" spans="2:9" x14ac:dyDescent="0.35">
      <c r="B116" s="228"/>
      <c r="C116" s="229"/>
      <c r="D116" s="229"/>
      <c r="E116" s="229"/>
      <c r="F116" s="229"/>
      <c r="G116" s="229"/>
      <c r="H116" s="229"/>
      <c r="I116" s="230"/>
    </row>
    <row r="117" spans="2:9" x14ac:dyDescent="0.35">
      <c r="B117" s="231"/>
      <c r="C117" s="229"/>
      <c r="D117" s="229"/>
      <c r="E117" s="229"/>
      <c r="F117" s="229"/>
      <c r="G117" s="229"/>
      <c r="H117" s="229"/>
      <c r="I117" s="230"/>
    </row>
    <row r="118" spans="2:9" x14ac:dyDescent="0.35">
      <c r="B118" s="232"/>
      <c r="C118" s="233"/>
      <c r="D118" s="233"/>
      <c r="E118" s="233"/>
      <c r="F118" s="233"/>
      <c r="G118" s="233"/>
      <c r="H118" s="233"/>
      <c r="I118" s="234"/>
    </row>
    <row r="119" spans="2:9" ht="12.75" customHeight="1" x14ac:dyDescent="0.35">
      <c r="B119" s="97" t="s">
        <v>2</v>
      </c>
      <c r="C119" s="235" t="s">
        <v>89</v>
      </c>
      <c r="D119" s="236"/>
      <c r="E119" s="241" t="s">
        <v>90</v>
      </c>
      <c r="F119" s="242"/>
      <c r="G119" s="242"/>
      <c r="H119" s="242"/>
      <c r="I119" s="243"/>
    </row>
    <row r="120" spans="2:9" ht="12.75" customHeight="1" x14ac:dyDescent="0.35">
      <c r="B120" s="98"/>
      <c r="C120" s="237"/>
      <c r="D120" s="238"/>
      <c r="E120" s="244"/>
      <c r="F120" s="245"/>
      <c r="G120" s="245"/>
      <c r="H120" s="245"/>
      <c r="I120" s="246"/>
    </row>
    <row r="121" spans="2:9" x14ac:dyDescent="0.35">
      <c r="B121" s="99"/>
      <c r="C121" s="239"/>
      <c r="D121" s="240"/>
      <c r="E121" s="247"/>
      <c r="F121" s="229"/>
      <c r="G121" s="229"/>
      <c r="H121" s="229"/>
      <c r="I121" s="230"/>
    </row>
    <row r="122" spans="2:9" x14ac:dyDescent="0.35">
      <c r="B122" s="94"/>
      <c r="C122" s="226" t="s">
        <v>91</v>
      </c>
      <c r="D122" s="227"/>
      <c r="E122" s="247"/>
      <c r="F122" s="229"/>
      <c r="G122" s="229"/>
      <c r="H122" s="229"/>
      <c r="I122" s="230"/>
    </row>
    <row r="123" spans="2:9" x14ac:dyDescent="0.35">
      <c r="B123" s="104" t="s">
        <v>92</v>
      </c>
      <c r="C123" s="35">
        <f>'Record Audit'!H24</f>
        <v>0</v>
      </c>
      <c r="E123" s="247"/>
      <c r="F123" s="229"/>
      <c r="G123" s="229"/>
      <c r="H123" s="229"/>
      <c r="I123" s="230"/>
    </row>
    <row r="124" spans="2:9" x14ac:dyDescent="0.35">
      <c r="B124" s="104" t="s">
        <v>93</v>
      </c>
      <c r="C124" s="35">
        <f>'Record Audit'!H25</f>
        <v>0</v>
      </c>
      <c r="D124" s="146" t="s">
        <v>35</v>
      </c>
      <c r="E124" s="247"/>
      <c r="F124" s="229"/>
      <c r="G124" s="229"/>
      <c r="H124" s="229"/>
      <c r="I124" s="230"/>
    </row>
    <row r="125" spans="2:9" ht="13.15" thickBot="1" x14ac:dyDescent="0.4">
      <c r="B125" s="105" t="s">
        <v>94</v>
      </c>
      <c r="C125" s="106">
        <f>'Record Audit'!H26</f>
        <v>0</v>
      </c>
      <c r="D125" s="103"/>
      <c r="E125" s="248"/>
      <c r="F125" s="249"/>
      <c r="G125" s="249"/>
      <c r="H125" s="249"/>
      <c r="I125" s="250"/>
    </row>
    <row r="126" spans="2:9" ht="13.15" thickBot="1" x14ac:dyDescent="0.4"/>
    <row r="127" spans="2:9" ht="13.5" thickBot="1" x14ac:dyDescent="0.45">
      <c r="B127" s="88" t="s">
        <v>82</v>
      </c>
      <c r="C127" s="149" t="s">
        <v>95</v>
      </c>
      <c r="D127" s="89"/>
      <c r="E127" s="89"/>
      <c r="F127" s="89"/>
      <c r="G127" s="251" t="s">
        <v>1</v>
      </c>
      <c r="H127" s="252"/>
      <c r="I127" s="253"/>
    </row>
    <row r="128" spans="2:9" x14ac:dyDescent="0.35">
      <c r="B128" s="224" t="s">
        <v>84</v>
      </c>
      <c r="C128" s="225"/>
      <c r="H128" s="147" t="s">
        <v>85</v>
      </c>
      <c r="I128" s="91"/>
    </row>
    <row r="129" spans="2:9" x14ac:dyDescent="0.35">
      <c r="B129" s="92">
        <v>7</v>
      </c>
      <c r="I129" s="91"/>
    </row>
    <row r="130" spans="2:9" x14ac:dyDescent="0.35">
      <c r="B130" s="93" t="s">
        <v>86</v>
      </c>
      <c r="C130" s="108">
        <f>'Record Audit'!J2</f>
        <v>0</v>
      </c>
      <c r="G130" s="50" t="s">
        <v>87</v>
      </c>
      <c r="H130" s="50"/>
      <c r="I130" s="156">
        <f>'Record Audit'!J3</f>
        <v>0</v>
      </c>
    </row>
    <row r="131" spans="2:9" x14ac:dyDescent="0.35">
      <c r="B131" s="94"/>
      <c r="I131" s="91"/>
    </row>
    <row r="132" spans="2:9" x14ac:dyDescent="0.35">
      <c r="B132" s="95" t="s">
        <v>88</v>
      </c>
      <c r="C132" s="27"/>
      <c r="D132" s="27"/>
      <c r="E132" s="27"/>
      <c r="F132" s="27"/>
      <c r="G132" s="27"/>
      <c r="H132" s="27"/>
      <c r="I132" s="96"/>
    </row>
    <row r="133" spans="2:9" x14ac:dyDescent="0.35">
      <c r="B133" s="228"/>
      <c r="C133" s="229"/>
      <c r="D133" s="229"/>
      <c r="E133" s="229"/>
      <c r="F133" s="229"/>
      <c r="G133" s="229"/>
      <c r="H133" s="229"/>
      <c r="I133" s="230"/>
    </row>
    <row r="134" spans="2:9" x14ac:dyDescent="0.35">
      <c r="B134" s="231"/>
      <c r="C134" s="229"/>
      <c r="D134" s="229"/>
      <c r="E134" s="229"/>
      <c r="F134" s="229"/>
      <c r="G134" s="229"/>
      <c r="H134" s="229"/>
      <c r="I134" s="230"/>
    </row>
    <row r="135" spans="2:9" x14ac:dyDescent="0.35">
      <c r="B135" s="232"/>
      <c r="C135" s="233"/>
      <c r="D135" s="233"/>
      <c r="E135" s="233"/>
      <c r="F135" s="233"/>
      <c r="G135" s="233"/>
      <c r="H135" s="233"/>
      <c r="I135" s="234"/>
    </row>
    <row r="136" spans="2:9" ht="12.75" customHeight="1" x14ac:dyDescent="0.35">
      <c r="B136" s="97" t="s">
        <v>2</v>
      </c>
      <c r="C136" s="235" t="s">
        <v>89</v>
      </c>
      <c r="D136" s="236"/>
      <c r="E136" s="241" t="s">
        <v>90</v>
      </c>
      <c r="F136" s="242"/>
      <c r="G136" s="242"/>
      <c r="H136" s="242"/>
      <c r="I136" s="243"/>
    </row>
    <row r="137" spans="2:9" x14ac:dyDescent="0.35">
      <c r="B137" s="98"/>
      <c r="C137" s="237"/>
      <c r="D137" s="238"/>
      <c r="E137" s="244"/>
      <c r="F137" s="245"/>
      <c r="G137" s="245"/>
      <c r="H137" s="245"/>
      <c r="I137" s="246"/>
    </row>
    <row r="138" spans="2:9" x14ac:dyDescent="0.35">
      <c r="B138" s="99"/>
      <c r="C138" s="239"/>
      <c r="D138" s="240"/>
      <c r="E138" s="247"/>
      <c r="F138" s="229"/>
      <c r="G138" s="229"/>
      <c r="H138" s="229"/>
      <c r="I138" s="230"/>
    </row>
    <row r="139" spans="2:9" x14ac:dyDescent="0.35">
      <c r="B139" s="94"/>
      <c r="C139" s="226" t="s">
        <v>91</v>
      </c>
      <c r="D139" s="227"/>
      <c r="E139" s="247"/>
      <c r="F139" s="229"/>
      <c r="G139" s="229"/>
      <c r="H139" s="229"/>
      <c r="I139" s="230"/>
    </row>
    <row r="140" spans="2:9" x14ac:dyDescent="0.35">
      <c r="B140" s="104" t="s">
        <v>92</v>
      </c>
      <c r="C140" s="35">
        <f>'Record Audit'!I24</f>
        <v>0</v>
      </c>
      <c r="E140" s="247"/>
      <c r="F140" s="229"/>
      <c r="G140" s="229"/>
      <c r="H140" s="229"/>
      <c r="I140" s="230"/>
    </row>
    <row r="141" spans="2:9" x14ac:dyDescent="0.35">
      <c r="B141" s="104" t="s">
        <v>93</v>
      </c>
      <c r="C141" s="35">
        <f>'Record Audit'!I25</f>
        <v>0</v>
      </c>
      <c r="D141" s="146" t="s">
        <v>35</v>
      </c>
      <c r="E141" s="247"/>
      <c r="F141" s="229"/>
      <c r="G141" s="229"/>
      <c r="H141" s="229"/>
      <c r="I141" s="230"/>
    </row>
    <row r="142" spans="2:9" ht="13.15" thickBot="1" x14ac:dyDescent="0.4">
      <c r="B142" s="105" t="s">
        <v>94</v>
      </c>
      <c r="C142" s="106">
        <f>'Record Audit'!I26</f>
        <v>0</v>
      </c>
      <c r="D142" s="103"/>
      <c r="E142" s="248"/>
      <c r="F142" s="249"/>
      <c r="G142" s="249"/>
      <c r="H142" s="249"/>
      <c r="I142" s="250"/>
    </row>
    <row r="143" spans="2:9" ht="13.15" thickBot="1" x14ac:dyDescent="0.4"/>
    <row r="144" spans="2:9" ht="13.5" thickBot="1" x14ac:dyDescent="0.45">
      <c r="B144" s="88" t="s">
        <v>82</v>
      </c>
      <c r="C144" s="149" t="s">
        <v>83</v>
      </c>
      <c r="D144" s="110"/>
      <c r="E144" s="110"/>
      <c r="F144" s="110"/>
      <c r="G144" s="251" t="s">
        <v>1</v>
      </c>
      <c r="H144" s="252"/>
      <c r="I144" s="253"/>
    </row>
    <row r="145" spans="2:9" x14ac:dyDescent="0.35">
      <c r="B145" s="224" t="s">
        <v>84</v>
      </c>
      <c r="C145" s="225"/>
      <c r="D145" s="7"/>
      <c r="E145" s="7"/>
      <c r="F145" s="7"/>
      <c r="H145" s="147" t="s">
        <v>85</v>
      </c>
      <c r="I145" s="91"/>
    </row>
    <row r="146" spans="2:9" x14ac:dyDescent="0.35">
      <c r="B146" s="112">
        <v>8</v>
      </c>
      <c r="C146" s="7"/>
      <c r="D146" s="7"/>
      <c r="E146" s="7"/>
      <c r="F146" s="7"/>
      <c r="G146" s="7"/>
      <c r="H146" s="7"/>
      <c r="I146" s="111"/>
    </row>
    <row r="147" spans="2:9" x14ac:dyDescent="0.35">
      <c r="B147" s="113" t="s">
        <v>86</v>
      </c>
      <c r="C147" s="108">
        <f>'Record Audit'!K2</f>
        <v>0</v>
      </c>
      <c r="D147" s="7"/>
      <c r="E147" s="7"/>
      <c r="F147" s="7"/>
      <c r="G147" s="109" t="s">
        <v>87</v>
      </c>
      <c r="H147" s="109"/>
      <c r="I147" s="156">
        <f>'Record Audit'!K3</f>
        <v>0</v>
      </c>
    </row>
    <row r="148" spans="2:9" x14ac:dyDescent="0.35">
      <c r="B148" s="114"/>
      <c r="C148" s="7"/>
      <c r="D148" s="7"/>
      <c r="E148" s="7"/>
      <c r="F148" s="7"/>
      <c r="G148" s="7"/>
      <c r="H148" s="7"/>
      <c r="I148" s="111"/>
    </row>
    <row r="149" spans="2:9" x14ac:dyDescent="0.35">
      <c r="B149" s="95" t="s">
        <v>88</v>
      </c>
      <c r="C149" s="107"/>
      <c r="D149" s="107"/>
      <c r="E149" s="107"/>
      <c r="F149" s="107"/>
      <c r="G149" s="107"/>
      <c r="H149" s="107"/>
      <c r="I149" s="115"/>
    </row>
    <row r="150" spans="2:9" x14ac:dyDescent="0.35">
      <c r="B150" s="228"/>
      <c r="C150" s="300"/>
      <c r="D150" s="300"/>
      <c r="E150" s="300"/>
      <c r="F150" s="300"/>
      <c r="G150" s="300"/>
      <c r="H150" s="300"/>
      <c r="I150" s="301"/>
    </row>
    <row r="151" spans="2:9" x14ac:dyDescent="0.35">
      <c r="B151" s="228"/>
      <c r="C151" s="300"/>
      <c r="D151" s="300"/>
      <c r="E151" s="300"/>
      <c r="F151" s="300"/>
      <c r="G151" s="300"/>
      <c r="H151" s="300"/>
      <c r="I151" s="301"/>
    </row>
    <row r="152" spans="2:9" x14ac:dyDescent="0.35">
      <c r="B152" s="302"/>
      <c r="C152" s="303"/>
      <c r="D152" s="303"/>
      <c r="E152" s="303"/>
      <c r="F152" s="303"/>
      <c r="G152" s="303"/>
      <c r="H152" s="303"/>
      <c r="I152" s="304"/>
    </row>
    <row r="153" spans="2:9" ht="12.75" customHeight="1" x14ac:dyDescent="0.35">
      <c r="B153" s="116" t="s">
        <v>2</v>
      </c>
      <c r="C153" s="235" t="s">
        <v>89</v>
      </c>
      <c r="D153" s="236"/>
      <c r="E153" s="305" t="s">
        <v>90</v>
      </c>
      <c r="F153" s="306"/>
      <c r="G153" s="306"/>
      <c r="H153" s="306"/>
      <c r="I153" s="307"/>
    </row>
    <row r="154" spans="2:9" ht="12.75" customHeight="1" x14ac:dyDescent="0.35">
      <c r="B154" s="117"/>
      <c r="C154" s="237"/>
      <c r="D154" s="238"/>
      <c r="E154" s="244"/>
      <c r="F154" s="245"/>
      <c r="G154" s="245"/>
      <c r="H154" s="245"/>
      <c r="I154" s="246"/>
    </row>
    <row r="155" spans="2:9" x14ac:dyDescent="0.35">
      <c r="B155" s="118"/>
      <c r="C155" s="239"/>
      <c r="D155" s="240"/>
      <c r="E155" s="247"/>
      <c r="F155" s="229"/>
      <c r="G155" s="229"/>
      <c r="H155" s="229"/>
      <c r="I155" s="230"/>
    </row>
    <row r="156" spans="2:9" x14ac:dyDescent="0.35">
      <c r="B156" s="114"/>
      <c r="C156" s="226" t="s">
        <v>91</v>
      </c>
      <c r="D156" s="308"/>
      <c r="E156" s="247"/>
      <c r="F156" s="229"/>
      <c r="G156" s="229"/>
      <c r="H156" s="229"/>
      <c r="I156" s="230"/>
    </row>
    <row r="157" spans="2:9" x14ac:dyDescent="0.35">
      <c r="B157" s="104" t="s">
        <v>92</v>
      </c>
      <c r="C157" s="38">
        <f>'Record Audit'!J24</f>
        <v>0</v>
      </c>
      <c r="D157" s="7"/>
      <c r="E157" s="247"/>
      <c r="F157" s="229"/>
      <c r="G157" s="229"/>
      <c r="H157" s="229"/>
      <c r="I157" s="230"/>
    </row>
    <row r="158" spans="2:9" x14ac:dyDescent="0.35">
      <c r="B158" s="104" t="s">
        <v>93</v>
      </c>
      <c r="C158" s="38">
        <f>'Record Audit'!J25</f>
        <v>0</v>
      </c>
      <c r="D158" s="146" t="s">
        <v>35</v>
      </c>
      <c r="E158" s="247"/>
      <c r="F158" s="229"/>
      <c r="G158" s="229"/>
      <c r="H158" s="229"/>
      <c r="I158" s="230"/>
    </row>
    <row r="159" spans="2:9" ht="13.15" thickBot="1" x14ac:dyDescent="0.4">
      <c r="B159" s="105" t="s">
        <v>94</v>
      </c>
      <c r="C159" s="119">
        <f>'Record Audit'!J26</f>
        <v>0</v>
      </c>
      <c r="D159" s="120"/>
      <c r="E159" s="248"/>
      <c r="F159" s="249"/>
      <c r="G159" s="249"/>
      <c r="H159" s="249"/>
      <c r="I159" s="250"/>
    </row>
    <row r="160" spans="2:9" ht="13.15" thickBot="1" x14ac:dyDescent="0.4"/>
    <row r="161" spans="2:9" ht="13.5" thickBot="1" x14ac:dyDescent="0.45">
      <c r="B161" s="88" t="s">
        <v>82</v>
      </c>
      <c r="C161" s="149" t="s">
        <v>83</v>
      </c>
      <c r="D161" s="89"/>
      <c r="E161" s="89"/>
      <c r="F161" s="89"/>
      <c r="G161" s="251" t="s">
        <v>1</v>
      </c>
      <c r="H161" s="252"/>
      <c r="I161" s="253"/>
    </row>
    <row r="162" spans="2:9" x14ac:dyDescent="0.35">
      <c r="B162" s="224" t="s">
        <v>84</v>
      </c>
      <c r="C162" s="225"/>
      <c r="H162" s="147" t="s">
        <v>85</v>
      </c>
      <c r="I162" s="91"/>
    </row>
    <row r="163" spans="2:9" x14ac:dyDescent="0.35">
      <c r="B163" s="92">
        <v>9</v>
      </c>
      <c r="I163" s="91"/>
    </row>
    <row r="164" spans="2:9" x14ac:dyDescent="0.35">
      <c r="B164" s="93" t="s">
        <v>86</v>
      </c>
      <c r="C164" s="108">
        <f>'Record Audit'!L2</f>
        <v>0</v>
      </c>
      <c r="G164" s="50" t="s">
        <v>87</v>
      </c>
      <c r="H164" s="50"/>
      <c r="I164" s="156">
        <f>'Record Audit'!L3</f>
        <v>0</v>
      </c>
    </row>
    <row r="165" spans="2:9" x14ac:dyDescent="0.35">
      <c r="B165" s="94"/>
      <c r="I165" s="91"/>
    </row>
    <row r="166" spans="2:9" x14ac:dyDescent="0.35">
      <c r="B166" s="95" t="s">
        <v>88</v>
      </c>
      <c r="C166" s="27"/>
      <c r="D166" s="27"/>
      <c r="E166" s="27"/>
      <c r="F166" s="27"/>
      <c r="G166" s="27"/>
      <c r="H166" s="27"/>
      <c r="I166" s="96"/>
    </row>
    <row r="167" spans="2:9" x14ac:dyDescent="0.35">
      <c r="B167" s="228"/>
      <c r="C167" s="229"/>
      <c r="D167" s="229"/>
      <c r="E167" s="229"/>
      <c r="F167" s="229"/>
      <c r="G167" s="229"/>
      <c r="H167" s="229"/>
      <c r="I167" s="230"/>
    </row>
    <row r="168" spans="2:9" x14ac:dyDescent="0.35">
      <c r="B168" s="231"/>
      <c r="C168" s="229"/>
      <c r="D168" s="229"/>
      <c r="E168" s="229"/>
      <c r="F168" s="229"/>
      <c r="G168" s="229"/>
      <c r="H168" s="229"/>
      <c r="I168" s="230"/>
    </row>
    <row r="169" spans="2:9" x14ac:dyDescent="0.35">
      <c r="B169" s="232"/>
      <c r="C169" s="233"/>
      <c r="D169" s="233"/>
      <c r="E169" s="233"/>
      <c r="F169" s="233"/>
      <c r="G169" s="233"/>
      <c r="H169" s="233"/>
      <c r="I169" s="234"/>
    </row>
    <row r="170" spans="2:9" ht="12.75" customHeight="1" x14ac:dyDescent="0.35">
      <c r="B170" s="97" t="s">
        <v>2</v>
      </c>
      <c r="C170" s="235" t="s">
        <v>89</v>
      </c>
      <c r="D170" s="236"/>
      <c r="E170" s="241" t="s">
        <v>90</v>
      </c>
      <c r="F170" s="242"/>
      <c r="G170" s="242"/>
      <c r="H170" s="242"/>
      <c r="I170" s="243"/>
    </row>
    <row r="171" spans="2:9" x14ac:dyDescent="0.35">
      <c r="B171" s="98"/>
      <c r="C171" s="237"/>
      <c r="D171" s="238"/>
      <c r="E171" s="244"/>
      <c r="F171" s="245"/>
      <c r="G171" s="245"/>
      <c r="H171" s="245"/>
      <c r="I171" s="246"/>
    </row>
    <row r="172" spans="2:9" x14ac:dyDescent="0.35">
      <c r="B172" s="99"/>
      <c r="C172" s="239"/>
      <c r="D172" s="240"/>
      <c r="E172" s="247"/>
      <c r="F172" s="229"/>
      <c r="G172" s="229"/>
      <c r="H172" s="229"/>
      <c r="I172" s="230"/>
    </row>
    <row r="173" spans="2:9" x14ac:dyDescent="0.35">
      <c r="B173" s="94"/>
      <c r="C173" s="226" t="s">
        <v>91</v>
      </c>
      <c r="D173" s="227"/>
      <c r="E173" s="247"/>
      <c r="F173" s="229"/>
      <c r="G173" s="229"/>
      <c r="H173" s="229"/>
      <c r="I173" s="230"/>
    </row>
    <row r="174" spans="2:9" x14ac:dyDescent="0.35">
      <c r="B174" s="104" t="s">
        <v>92</v>
      </c>
      <c r="C174" s="35">
        <f>'Record Audit'!K24</f>
        <v>0</v>
      </c>
      <c r="E174" s="247"/>
      <c r="F174" s="229"/>
      <c r="G174" s="229"/>
      <c r="H174" s="229"/>
      <c r="I174" s="230"/>
    </row>
    <row r="175" spans="2:9" x14ac:dyDescent="0.35">
      <c r="B175" s="104" t="s">
        <v>93</v>
      </c>
      <c r="C175" s="35">
        <f>'Record Audit'!K25</f>
        <v>0</v>
      </c>
      <c r="D175" s="146" t="s">
        <v>35</v>
      </c>
      <c r="E175" s="247"/>
      <c r="F175" s="229"/>
      <c r="G175" s="229"/>
      <c r="H175" s="229"/>
      <c r="I175" s="230"/>
    </row>
    <row r="176" spans="2:9" ht="13.15" thickBot="1" x14ac:dyDescent="0.4">
      <c r="B176" s="105" t="s">
        <v>94</v>
      </c>
      <c r="C176" s="106">
        <f>'Record Audit'!K26</f>
        <v>0</v>
      </c>
      <c r="D176" s="103"/>
      <c r="E176" s="248"/>
      <c r="F176" s="249"/>
      <c r="G176" s="249"/>
      <c r="H176" s="249"/>
      <c r="I176" s="250"/>
    </row>
    <row r="177" spans="2:9" ht="13.15" thickBot="1" x14ac:dyDescent="0.4"/>
    <row r="178" spans="2:9" ht="13.5" thickBot="1" x14ac:dyDescent="0.45">
      <c r="B178" s="88" t="s">
        <v>82</v>
      </c>
      <c r="C178" s="149" t="s">
        <v>83</v>
      </c>
      <c r="D178" s="89"/>
      <c r="E178" s="89"/>
      <c r="F178" s="89"/>
      <c r="G178" s="251" t="s">
        <v>1</v>
      </c>
      <c r="H178" s="252"/>
      <c r="I178" s="253"/>
    </row>
    <row r="179" spans="2:9" x14ac:dyDescent="0.35">
      <c r="B179" s="224" t="s">
        <v>84</v>
      </c>
      <c r="C179" s="225"/>
      <c r="H179" s="147" t="s">
        <v>85</v>
      </c>
      <c r="I179" s="91"/>
    </row>
    <row r="180" spans="2:9" x14ac:dyDescent="0.35">
      <c r="B180" s="92">
        <v>10</v>
      </c>
      <c r="I180" s="91"/>
    </row>
    <row r="181" spans="2:9" x14ac:dyDescent="0.35">
      <c r="B181" s="93" t="s">
        <v>86</v>
      </c>
      <c r="C181" s="26">
        <f>'Record Audit'!M2</f>
        <v>0</v>
      </c>
      <c r="G181" s="50" t="s">
        <v>87</v>
      </c>
      <c r="H181" s="50"/>
      <c r="I181" s="156">
        <f>'Record Audit'!M3</f>
        <v>0</v>
      </c>
    </row>
    <row r="182" spans="2:9" x14ac:dyDescent="0.35">
      <c r="B182" s="94"/>
      <c r="I182" s="91"/>
    </row>
    <row r="183" spans="2:9" x14ac:dyDescent="0.35">
      <c r="B183" s="95" t="s">
        <v>88</v>
      </c>
      <c r="C183" s="27"/>
      <c r="D183" s="27"/>
      <c r="E183" s="27"/>
      <c r="F183" s="27"/>
      <c r="G183" s="27"/>
      <c r="H183" s="27"/>
      <c r="I183" s="96"/>
    </row>
    <row r="184" spans="2:9" x14ac:dyDescent="0.35">
      <c r="B184" s="228"/>
      <c r="C184" s="229"/>
      <c r="D184" s="229"/>
      <c r="E184" s="229"/>
      <c r="F184" s="229"/>
      <c r="G184" s="229"/>
      <c r="H184" s="229"/>
      <c r="I184" s="230"/>
    </row>
    <row r="185" spans="2:9" x14ac:dyDescent="0.35">
      <c r="B185" s="231"/>
      <c r="C185" s="229"/>
      <c r="D185" s="229"/>
      <c r="E185" s="229"/>
      <c r="F185" s="229"/>
      <c r="G185" s="229"/>
      <c r="H185" s="229"/>
      <c r="I185" s="230"/>
    </row>
    <row r="186" spans="2:9" x14ac:dyDescent="0.35">
      <c r="B186" s="232"/>
      <c r="C186" s="233"/>
      <c r="D186" s="233"/>
      <c r="E186" s="233"/>
      <c r="F186" s="233"/>
      <c r="G186" s="233"/>
      <c r="H186" s="233"/>
      <c r="I186" s="234"/>
    </row>
    <row r="187" spans="2:9" ht="12.75" customHeight="1" x14ac:dyDescent="0.35">
      <c r="B187" s="97" t="s">
        <v>2</v>
      </c>
      <c r="C187" s="235" t="s">
        <v>89</v>
      </c>
      <c r="D187" s="236"/>
      <c r="E187" s="241" t="s">
        <v>90</v>
      </c>
      <c r="F187" s="242"/>
      <c r="G187" s="242"/>
      <c r="H187" s="242"/>
      <c r="I187" s="243"/>
    </row>
    <row r="188" spans="2:9" x14ac:dyDescent="0.35">
      <c r="B188" s="98"/>
      <c r="C188" s="237"/>
      <c r="D188" s="238"/>
      <c r="E188" s="244"/>
      <c r="F188" s="245"/>
      <c r="G188" s="245"/>
      <c r="H188" s="245"/>
      <c r="I188" s="246"/>
    </row>
    <row r="189" spans="2:9" x14ac:dyDescent="0.35">
      <c r="B189" s="99"/>
      <c r="C189" s="239"/>
      <c r="D189" s="240"/>
      <c r="E189" s="247"/>
      <c r="F189" s="229"/>
      <c r="G189" s="229"/>
      <c r="H189" s="229"/>
      <c r="I189" s="230"/>
    </row>
    <row r="190" spans="2:9" x14ac:dyDescent="0.35">
      <c r="B190" s="94"/>
      <c r="C190" s="226" t="s">
        <v>91</v>
      </c>
      <c r="D190" s="227"/>
      <c r="E190" s="247"/>
      <c r="F190" s="229"/>
      <c r="G190" s="229"/>
      <c r="H190" s="229"/>
      <c r="I190" s="230"/>
    </row>
    <row r="191" spans="2:9" x14ac:dyDescent="0.35">
      <c r="B191" s="104" t="s">
        <v>92</v>
      </c>
      <c r="C191" s="35">
        <f>'Record Audit'!L24</f>
        <v>0</v>
      </c>
      <c r="E191" s="247"/>
      <c r="F191" s="229"/>
      <c r="G191" s="229"/>
      <c r="H191" s="229"/>
      <c r="I191" s="230"/>
    </row>
    <row r="192" spans="2:9" x14ac:dyDescent="0.35">
      <c r="B192" s="104" t="s">
        <v>93</v>
      </c>
      <c r="C192" s="35">
        <f>'Record Audit'!L25</f>
        <v>0</v>
      </c>
      <c r="D192" s="146" t="s">
        <v>35</v>
      </c>
      <c r="E192" s="247"/>
      <c r="F192" s="229"/>
      <c r="G192" s="229"/>
      <c r="H192" s="229"/>
      <c r="I192" s="230"/>
    </row>
    <row r="193" spans="2:9" ht="13.15" thickBot="1" x14ac:dyDescent="0.4">
      <c r="B193" s="105" t="s">
        <v>94</v>
      </c>
      <c r="C193" s="106">
        <f>'Record Audit'!L26</f>
        <v>0</v>
      </c>
      <c r="D193" s="103">
        <f>'Record Audit'!$L$22</f>
        <v>0</v>
      </c>
      <c r="E193" s="248"/>
      <c r="F193" s="249"/>
      <c r="G193" s="249"/>
      <c r="H193" s="249"/>
      <c r="I193" s="250"/>
    </row>
    <row r="195" spans="2:9" ht="13.15" thickBot="1" x14ac:dyDescent="0.4"/>
    <row r="196" spans="2:9" ht="13.5" thickBot="1" x14ac:dyDescent="0.45">
      <c r="B196" s="88" t="s">
        <v>96</v>
      </c>
      <c r="C196" s="89"/>
      <c r="D196" s="89"/>
      <c r="E196" s="89"/>
      <c r="F196" s="89"/>
      <c r="G196" s="89"/>
      <c r="H196" s="281" t="s">
        <v>97</v>
      </c>
      <c r="I196" s="282"/>
    </row>
    <row r="197" spans="2:9" ht="13.5" thickBot="1" x14ac:dyDescent="0.45">
      <c r="B197" s="94"/>
      <c r="E197" s="278" t="s">
        <v>98</v>
      </c>
      <c r="F197" s="279"/>
      <c r="G197" s="279"/>
      <c r="H197" s="280"/>
      <c r="I197" s="39">
        <v>10</v>
      </c>
    </row>
    <row r="198" spans="2:9" x14ac:dyDescent="0.35">
      <c r="B198" s="113" t="s">
        <v>99</v>
      </c>
      <c r="C198" s="25" t="s">
        <v>100</v>
      </c>
      <c r="D198" s="25" t="s">
        <v>101</v>
      </c>
      <c r="E198" s="276" t="s">
        <v>102</v>
      </c>
      <c r="F198" s="277"/>
      <c r="G198" s="36" t="s">
        <v>100</v>
      </c>
      <c r="H198" s="257" t="s">
        <v>101</v>
      </c>
      <c r="I198" s="258"/>
    </row>
    <row r="199" spans="2:9" x14ac:dyDescent="0.35">
      <c r="B199" s="121" t="s">
        <v>103</v>
      </c>
      <c r="C199" s="34">
        <f>'Record Audit'!$AI$24</f>
        <v>0</v>
      </c>
      <c r="D199" s="37" t="e">
        <f>'Record Audit'!$D$30</f>
        <v>#DIV/0!</v>
      </c>
      <c r="E199" s="272" t="s">
        <v>103</v>
      </c>
      <c r="F199" s="273"/>
      <c r="G199" s="35">
        <f>COUNTIF(B34:B194,"Acceptable")</f>
        <v>10</v>
      </c>
      <c r="H199" s="259">
        <f>(G199/I197)</f>
        <v>1</v>
      </c>
      <c r="I199" s="260"/>
    </row>
    <row r="200" spans="2:9" x14ac:dyDescent="0.35">
      <c r="B200" s="122" t="s">
        <v>3</v>
      </c>
      <c r="C200" s="34">
        <f>'Record Audit'!$AI$25</f>
        <v>0</v>
      </c>
      <c r="D200" s="37" t="e">
        <f>'Record Audit'!$D$31</f>
        <v>#DIV/0!</v>
      </c>
      <c r="E200" s="274" t="s">
        <v>3</v>
      </c>
      <c r="F200" s="274"/>
      <c r="G200" s="35">
        <f>COUNTIF(B34:B194,"Concern")</f>
        <v>0</v>
      </c>
      <c r="H200" s="259">
        <f>(G200/I197)</f>
        <v>0</v>
      </c>
      <c r="I200" s="260"/>
    </row>
    <row r="201" spans="2:9" x14ac:dyDescent="0.35">
      <c r="B201" s="123" t="s">
        <v>4</v>
      </c>
      <c r="C201" s="34">
        <f>'Record Audit'!$AI$26</f>
        <v>0</v>
      </c>
      <c r="D201" s="37" t="e">
        <f>'Record Audit'!$D$32</f>
        <v>#DIV/0!</v>
      </c>
      <c r="E201" s="275" t="s">
        <v>4</v>
      </c>
      <c r="F201" s="275"/>
      <c r="G201" s="35">
        <f>COUNTIF(B34:B194,"Unacceptable")</f>
        <v>0</v>
      </c>
      <c r="H201" s="259">
        <f>(G201/I197)</f>
        <v>0</v>
      </c>
      <c r="I201" s="260"/>
    </row>
    <row r="202" spans="2:9" x14ac:dyDescent="0.35">
      <c r="B202" s="94"/>
      <c r="I202" s="91"/>
    </row>
    <row r="203" spans="2:9" x14ac:dyDescent="0.35">
      <c r="B203" s="94"/>
      <c r="I203" s="91"/>
    </row>
    <row r="204" spans="2:9" ht="13.15" x14ac:dyDescent="0.4">
      <c r="B204" s="124" t="s">
        <v>104</v>
      </c>
      <c r="C204" s="40"/>
      <c r="D204" s="40"/>
      <c r="E204" s="40"/>
      <c r="F204" s="40"/>
      <c r="G204" s="40"/>
      <c r="H204" s="40"/>
      <c r="I204" s="125" t="s">
        <v>78</v>
      </c>
    </row>
    <row r="205" spans="2:9" x14ac:dyDescent="0.35">
      <c r="B205" s="231"/>
      <c r="C205" s="229"/>
      <c r="D205" s="229"/>
      <c r="E205" s="229"/>
      <c r="F205" s="229"/>
      <c r="G205" s="229"/>
      <c r="H205" s="229"/>
      <c r="I205" s="230"/>
    </row>
    <row r="206" spans="2:9" x14ac:dyDescent="0.35">
      <c r="B206" s="231"/>
      <c r="C206" s="229"/>
      <c r="D206" s="229"/>
      <c r="E206" s="229"/>
      <c r="F206" s="229"/>
      <c r="G206" s="229"/>
      <c r="H206" s="229"/>
      <c r="I206" s="230"/>
    </row>
    <row r="207" spans="2:9" x14ac:dyDescent="0.35">
      <c r="B207" s="231"/>
      <c r="C207" s="229"/>
      <c r="D207" s="229"/>
      <c r="E207" s="229"/>
      <c r="F207" s="229"/>
      <c r="G207" s="229"/>
      <c r="H207" s="229"/>
      <c r="I207" s="230"/>
    </row>
    <row r="208" spans="2:9" x14ac:dyDescent="0.35">
      <c r="B208" s="231"/>
      <c r="C208" s="229"/>
      <c r="D208" s="229"/>
      <c r="E208" s="229"/>
      <c r="F208" s="229"/>
      <c r="G208" s="229"/>
      <c r="H208" s="229"/>
      <c r="I208" s="230"/>
    </row>
    <row r="209" spans="2:9" x14ac:dyDescent="0.35">
      <c r="B209" s="231"/>
      <c r="C209" s="229"/>
      <c r="D209" s="229"/>
      <c r="E209" s="229"/>
      <c r="F209" s="229"/>
      <c r="G209" s="229"/>
      <c r="H209" s="229"/>
      <c r="I209" s="230"/>
    </row>
    <row r="210" spans="2:9" x14ac:dyDescent="0.35">
      <c r="B210" s="231"/>
      <c r="C210" s="229"/>
      <c r="D210" s="229"/>
      <c r="E210" s="229"/>
      <c r="F210" s="229"/>
      <c r="G210" s="229"/>
      <c r="H210" s="229"/>
      <c r="I210" s="230"/>
    </row>
    <row r="211" spans="2:9" x14ac:dyDescent="0.35">
      <c r="B211" s="231"/>
      <c r="C211" s="229"/>
      <c r="D211" s="229"/>
      <c r="E211" s="229"/>
      <c r="F211" s="229"/>
      <c r="G211" s="229"/>
      <c r="H211" s="229"/>
      <c r="I211" s="230"/>
    </row>
    <row r="212" spans="2:9" x14ac:dyDescent="0.35">
      <c r="B212" s="231"/>
      <c r="C212" s="229"/>
      <c r="D212" s="229"/>
      <c r="E212" s="229"/>
      <c r="F212" s="229"/>
      <c r="G212" s="229"/>
      <c r="H212" s="229"/>
      <c r="I212" s="230"/>
    </row>
    <row r="213" spans="2:9" x14ac:dyDescent="0.35">
      <c r="B213" s="231"/>
      <c r="C213" s="229"/>
      <c r="D213" s="229"/>
      <c r="E213" s="229"/>
      <c r="F213" s="229"/>
      <c r="G213" s="229"/>
      <c r="H213" s="229"/>
      <c r="I213" s="230"/>
    </row>
    <row r="214" spans="2:9" x14ac:dyDescent="0.35">
      <c r="B214" s="231"/>
      <c r="C214" s="229"/>
      <c r="D214" s="229"/>
      <c r="E214" s="229"/>
      <c r="F214" s="229"/>
      <c r="G214" s="229"/>
      <c r="H214" s="229"/>
      <c r="I214" s="230"/>
    </row>
    <row r="215" spans="2:9" x14ac:dyDescent="0.35">
      <c r="B215" s="231"/>
      <c r="C215" s="229"/>
      <c r="D215" s="229"/>
      <c r="E215" s="229"/>
      <c r="F215" s="229"/>
      <c r="G215" s="229"/>
      <c r="H215" s="229"/>
      <c r="I215" s="230"/>
    </row>
    <row r="216" spans="2:9" x14ac:dyDescent="0.35">
      <c r="B216" s="231"/>
      <c r="C216" s="229"/>
      <c r="D216" s="229"/>
      <c r="E216" s="229"/>
      <c r="F216" s="229"/>
      <c r="G216" s="229"/>
      <c r="H216" s="229"/>
      <c r="I216" s="230"/>
    </row>
    <row r="217" spans="2:9" x14ac:dyDescent="0.35">
      <c r="B217" s="231"/>
      <c r="C217" s="229"/>
      <c r="D217" s="229"/>
      <c r="E217" s="229"/>
      <c r="F217" s="229"/>
      <c r="G217" s="229"/>
      <c r="H217" s="229"/>
      <c r="I217" s="230"/>
    </row>
    <row r="218" spans="2:9" ht="13.15" thickBot="1" x14ac:dyDescent="0.4">
      <c r="B218" s="262"/>
      <c r="C218" s="249"/>
      <c r="D218" s="249"/>
      <c r="E218" s="249"/>
      <c r="F218" s="249"/>
      <c r="G218" s="249"/>
      <c r="H218" s="249"/>
      <c r="I218" s="250"/>
    </row>
    <row r="219" spans="2:9" ht="13.15" thickBot="1" x14ac:dyDescent="0.4"/>
    <row r="220" spans="2:9" ht="13.15" x14ac:dyDescent="0.4">
      <c r="B220" s="254" t="s">
        <v>105</v>
      </c>
      <c r="C220" s="255"/>
      <c r="D220" s="255"/>
      <c r="E220" s="255"/>
      <c r="F220" s="255"/>
      <c r="G220" s="255"/>
      <c r="H220" s="255"/>
      <c r="I220" s="256"/>
    </row>
    <row r="221" spans="2:9" x14ac:dyDescent="0.35">
      <c r="B221" s="261"/>
      <c r="C221" s="245"/>
      <c r="D221" s="245"/>
      <c r="E221" s="245"/>
      <c r="F221" s="245"/>
      <c r="G221" s="245"/>
      <c r="H221" s="245"/>
      <c r="I221" s="246"/>
    </row>
    <row r="222" spans="2:9" x14ac:dyDescent="0.35">
      <c r="B222" s="231"/>
      <c r="C222" s="229"/>
      <c r="D222" s="229"/>
      <c r="E222" s="229"/>
      <c r="F222" s="229"/>
      <c r="G222" s="229"/>
      <c r="H222" s="229"/>
      <c r="I222" s="230"/>
    </row>
    <row r="223" spans="2:9" x14ac:dyDescent="0.35">
      <c r="B223" s="231"/>
      <c r="C223" s="229"/>
      <c r="D223" s="229"/>
      <c r="E223" s="229"/>
      <c r="F223" s="229"/>
      <c r="G223" s="229"/>
      <c r="H223" s="229"/>
      <c r="I223" s="230"/>
    </row>
    <row r="224" spans="2:9" x14ac:dyDescent="0.35">
      <c r="B224" s="231"/>
      <c r="C224" s="229"/>
      <c r="D224" s="229"/>
      <c r="E224" s="229"/>
      <c r="F224" s="229"/>
      <c r="G224" s="229"/>
      <c r="H224" s="229"/>
      <c r="I224" s="230"/>
    </row>
    <row r="225" spans="2:9" x14ac:dyDescent="0.35">
      <c r="B225" s="231"/>
      <c r="C225" s="229"/>
      <c r="D225" s="229"/>
      <c r="E225" s="229"/>
      <c r="F225" s="229"/>
      <c r="G225" s="229"/>
      <c r="H225" s="229"/>
      <c r="I225" s="230"/>
    </row>
    <row r="226" spans="2:9" x14ac:dyDescent="0.35">
      <c r="B226" s="231"/>
      <c r="C226" s="229"/>
      <c r="D226" s="229"/>
      <c r="E226" s="229"/>
      <c r="F226" s="229"/>
      <c r="G226" s="229"/>
      <c r="H226" s="229"/>
      <c r="I226" s="230"/>
    </row>
    <row r="227" spans="2:9" x14ac:dyDescent="0.35">
      <c r="B227" s="231"/>
      <c r="C227" s="229"/>
      <c r="D227" s="229"/>
      <c r="E227" s="229"/>
      <c r="F227" s="229"/>
      <c r="G227" s="229"/>
      <c r="H227" s="229"/>
      <c r="I227" s="230"/>
    </row>
    <row r="228" spans="2:9" x14ac:dyDescent="0.35">
      <c r="B228" s="231"/>
      <c r="C228" s="229"/>
      <c r="D228" s="229"/>
      <c r="E228" s="229"/>
      <c r="F228" s="229"/>
      <c r="G228" s="229"/>
      <c r="H228" s="229"/>
      <c r="I228" s="230"/>
    </row>
    <row r="229" spans="2:9" x14ac:dyDescent="0.35">
      <c r="B229" s="231"/>
      <c r="C229" s="229"/>
      <c r="D229" s="229"/>
      <c r="E229" s="229"/>
      <c r="F229" s="229"/>
      <c r="G229" s="229"/>
      <c r="H229" s="229"/>
      <c r="I229" s="230"/>
    </row>
    <row r="230" spans="2:9" x14ac:dyDescent="0.35">
      <c r="B230" s="231"/>
      <c r="C230" s="229"/>
      <c r="D230" s="229"/>
      <c r="E230" s="229"/>
      <c r="F230" s="229"/>
      <c r="G230" s="229"/>
      <c r="H230" s="229"/>
      <c r="I230" s="230"/>
    </row>
    <row r="231" spans="2:9" x14ac:dyDescent="0.35">
      <c r="B231" s="231"/>
      <c r="C231" s="229"/>
      <c r="D231" s="229"/>
      <c r="E231" s="229"/>
      <c r="F231" s="229"/>
      <c r="G231" s="229"/>
      <c r="H231" s="229"/>
      <c r="I231" s="230"/>
    </row>
    <row r="232" spans="2:9" ht="13.15" thickBot="1" x14ac:dyDescent="0.4">
      <c r="B232" s="262"/>
      <c r="C232" s="249"/>
      <c r="D232" s="249"/>
      <c r="E232" s="249"/>
      <c r="F232" s="249"/>
      <c r="G232" s="249"/>
      <c r="H232" s="249"/>
      <c r="I232" s="250"/>
    </row>
    <row r="233" spans="2:9" ht="13.15" thickBot="1" x14ac:dyDescent="0.4"/>
    <row r="234" spans="2:9" ht="13.15" x14ac:dyDescent="0.4">
      <c r="B234" s="254" t="s">
        <v>106</v>
      </c>
      <c r="C234" s="255"/>
      <c r="D234" s="255"/>
      <c r="E234" s="255"/>
      <c r="F234" s="255"/>
      <c r="G234" s="255"/>
      <c r="H234" s="255"/>
      <c r="I234" s="256"/>
    </row>
    <row r="235" spans="2:9" x14ac:dyDescent="0.35">
      <c r="B235" s="261"/>
      <c r="C235" s="245"/>
      <c r="D235" s="245"/>
      <c r="E235" s="245"/>
      <c r="F235" s="245"/>
      <c r="G235" s="245"/>
      <c r="H235" s="245"/>
      <c r="I235" s="246"/>
    </row>
    <row r="236" spans="2:9" x14ac:dyDescent="0.35">
      <c r="B236" s="231"/>
      <c r="C236" s="229"/>
      <c r="D236" s="229"/>
      <c r="E236" s="229"/>
      <c r="F236" s="229"/>
      <c r="G236" s="229"/>
      <c r="H236" s="229"/>
      <c r="I236" s="230"/>
    </row>
    <row r="237" spans="2:9" x14ac:dyDescent="0.35">
      <c r="B237" s="231"/>
      <c r="C237" s="229"/>
      <c r="D237" s="229"/>
      <c r="E237" s="229"/>
      <c r="F237" s="229"/>
      <c r="G237" s="229"/>
      <c r="H237" s="229"/>
      <c r="I237" s="230"/>
    </row>
    <row r="238" spans="2:9" x14ac:dyDescent="0.35">
      <c r="B238" s="231"/>
      <c r="C238" s="229"/>
      <c r="D238" s="229"/>
      <c r="E238" s="229"/>
      <c r="F238" s="229"/>
      <c r="G238" s="229"/>
      <c r="H238" s="229"/>
      <c r="I238" s="230"/>
    </row>
    <row r="239" spans="2:9" x14ac:dyDescent="0.35">
      <c r="B239" s="231"/>
      <c r="C239" s="229"/>
      <c r="D239" s="229"/>
      <c r="E239" s="229"/>
      <c r="F239" s="229"/>
      <c r="G239" s="229"/>
      <c r="H239" s="229"/>
      <c r="I239" s="230"/>
    </row>
    <row r="240" spans="2:9" x14ac:dyDescent="0.35">
      <c r="B240" s="231"/>
      <c r="C240" s="229"/>
      <c r="D240" s="229"/>
      <c r="E240" s="229"/>
      <c r="F240" s="229"/>
      <c r="G240" s="229"/>
      <c r="H240" s="229"/>
      <c r="I240" s="230"/>
    </row>
    <row r="241" spans="2:9" x14ac:dyDescent="0.35">
      <c r="B241" s="231"/>
      <c r="C241" s="229"/>
      <c r="D241" s="229"/>
      <c r="E241" s="229"/>
      <c r="F241" s="229"/>
      <c r="G241" s="229"/>
      <c r="H241" s="229"/>
      <c r="I241" s="230"/>
    </row>
    <row r="242" spans="2:9" x14ac:dyDescent="0.35">
      <c r="B242" s="231"/>
      <c r="C242" s="229"/>
      <c r="D242" s="229"/>
      <c r="E242" s="229"/>
      <c r="F242" s="229"/>
      <c r="G242" s="229"/>
      <c r="H242" s="229"/>
      <c r="I242" s="230"/>
    </row>
    <row r="243" spans="2:9" x14ac:dyDescent="0.35">
      <c r="B243" s="231"/>
      <c r="C243" s="229"/>
      <c r="D243" s="229"/>
      <c r="E243" s="229"/>
      <c r="F243" s="229"/>
      <c r="G243" s="229"/>
      <c r="H243" s="229"/>
      <c r="I243" s="230"/>
    </row>
    <row r="244" spans="2:9" x14ac:dyDescent="0.35">
      <c r="B244" s="231"/>
      <c r="C244" s="229"/>
      <c r="D244" s="229"/>
      <c r="E244" s="229"/>
      <c r="F244" s="229"/>
      <c r="G244" s="229"/>
      <c r="H244" s="229"/>
      <c r="I244" s="230"/>
    </row>
    <row r="245" spans="2:9" x14ac:dyDescent="0.35">
      <c r="B245" s="231"/>
      <c r="C245" s="229"/>
      <c r="D245" s="229"/>
      <c r="E245" s="229"/>
      <c r="F245" s="229"/>
      <c r="G245" s="229"/>
      <c r="H245" s="229"/>
      <c r="I245" s="230"/>
    </row>
    <row r="246" spans="2:9" x14ac:dyDescent="0.35">
      <c r="B246" s="231"/>
      <c r="C246" s="229"/>
      <c r="D246" s="229"/>
      <c r="E246" s="229"/>
      <c r="F246" s="229"/>
      <c r="G246" s="229"/>
      <c r="H246" s="229"/>
      <c r="I246" s="230"/>
    </row>
    <row r="247" spans="2:9" ht="13.15" thickBot="1" x14ac:dyDescent="0.4">
      <c r="B247" s="262"/>
      <c r="C247" s="249"/>
      <c r="D247" s="249"/>
      <c r="E247" s="249"/>
      <c r="F247" s="249"/>
      <c r="G247" s="249"/>
      <c r="H247" s="249"/>
      <c r="I247" s="250"/>
    </row>
  </sheetData>
  <sheetProtection formatCells="0" formatColumns="0" formatRows="0" insertColumns="0" deleteColumns="0" deleteRows="0"/>
  <mergeCells count="94">
    <mergeCell ref="B179:C179"/>
    <mergeCell ref="G178:I178"/>
    <mergeCell ref="B184:I186"/>
    <mergeCell ref="C187:D189"/>
    <mergeCell ref="E187:I187"/>
    <mergeCell ref="E188:I193"/>
    <mergeCell ref="C190:D190"/>
    <mergeCell ref="B150:I152"/>
    <mergeCell ref="C153:D155"/>
    <mergeCell ref="E153:I153"/>
    <mergeCell ref="E154:I159"/>
    <mergeCell ref="C156:D156"/>
    <mergeCell ref="B162:C162"/>
    <mergeCell ref="B167:I169"/>
    <mergeCell ref="C170:D172"/>
    <mergeCell ref="E170:I170"/>
    <mergeCell ref="E171:I176"/>
    <mergeCell ref="C173:D173"/>
    <mergeCell ref="E68:I68"/>
    <mergeCell ref="E69:I74"/>
    <mergeCell ref="C71:D71"/>
    <mergeCell ref="B65:I67"/>
    <mergeCell ref="C85:D87"/>
    <mergeCell ref="E85:I85"/>
    <mergeCell ref="E86:I91"/>
    <mergeCell ref="C88:D88"/>
    <mergeCell ref="B82:I84"/>
    <mergeCell ref="G76:I76"/>
    <mergeCell ref="D3:E3"/>
    <mergeCell ref="B26:C26"/>
    <mergeCell ref="E35:I40"/>
    <mergeCell ref="E34:I34"/>
    <mergeCell ref="C34:D36"/>
    <mergeCell ref="G42:I42"/>
    <mergeCell ref="B31:I33"/>
    <mergeCell ref="C37:D37"/>
    <mergeCell ref="G59:I59"/>
    <mergeCell ref="H5:I5"/>
    <mergeCell ref="H6:I6"/>
    <mergeCell ref="B10:I15"/>
    <mergeCell ref="E7:G7"/>
    <mergeCell ref="H7:I7"/>
    <mergeCell ref="B43:C43"/>
    <mergeCell ref="B9:H9"/>
    <mergeCell ref="B48:I50"/>
    <mergeCell ref="C51:D53"/>
    <mergeCell ref="E51:I51"/>
    <mergeCell ref="E52:I57"/>
    <mergeCell ref="B16:H16"/>
    <mergeCell ref="B235:I247"/>
    <mergeCell ref="B17:I22"/>
    <mergeCell ref="B205:I218"/>
    <mergeCell ref="B221:I232"/>
    <mergeCell ref="B220:I220"/>
    <mergeCell ref="E199:F199"/>
    <mergeCell ref="E200:F200"/>
    <mergeCell ref="G25:I25"/>
    <mergeCell ref="E201:F201"/>
    <mergeCell ref="E198:F198"/>
    <mergeCell ref="E197:H197"/>
    <mergeCell ref="H196:I196"/>
    <mergeCell ref="B60:C60"/>
    <mergeCell ref="C54:D54"/>
    <mergeCell ref="B77:C77"/>
    <mergeCell ref="C68:D70"/>
    <mergeCell ref="B234:I234"/>
    <mergeCell ref="H198:I198"/>
    <mergeCell ref="H199:I199"/>
    <mergeCell ref="H200:I200"/>
    <mergeCell ref="H201:I201"/>
    <mergeCell ref="G93:I93"/>
    <mergeCell ref="G110:I110"/>
    <mergeCell ref="G127:I127"/>
    <mergeCell ref="G144:I144"/>
    <mergeCell ref="G161:I161"/>
    <mergeCell ref="B99:I101"/>
    <mergeCell ref="C102:D104"/>
    <mergeCell ref="E102:I102"/>
    <mergeCell ref="E103:I108"/>
    <mergeCell ref="B94:C94"/>
    <mergeCell ref="C105:D105"/>
    <mergeCell ref="B111:C111"/>
    <mergeCell ref="B116:I118"/>
    <mergeCell ref="C119:D121"/>
    <mergeCell ref="E119:I119"/>
    <mergeCell ref="E120:I125"/>
    <mergeCell ref="B145:C145"/>
    <mergeCell ref="C122:D122"/>
    <mergeCell ref="B128:C128"/>
    <mergeCell ref="B133:I135"/>
    <mergeCell ref="C136:D138"/>
    <mergeCell ref="E136:I136"/>
    <mergeCell ref="E137:I142"/>
    <mergeCell ref="C139:D139"/>
  </mergeCells>
  <conditionalFormatting sqref="B34">
    <cfRule type="containsText" dxfId="29" priority="2" stopIfTrue="1" operator="containsText" text="Concern">
      <formula>NOT(ISERROR(SEARCH("Concern",B34)))</formula>
    </cfRule>
    <cfRule type="containsText" dxfId="28" priority="3" stopIfTrue="1" operator="containsText" text="Unacceptable">
      <formula>NOT(ISERROR(SEARCH("Unacceptable",B34)))</formula>
    </cfRule>
    <cfRule type="containsText" dxfId="27" priority="4" stopIfTrue="1" operator="containsText" text="Acceptable">
      <formula>NOT(ISERROR(SEARCH("Acceptable",B34)))</formula>
    </cfRule>
    <cfRule type="colorScale" priority="5">
      <colorScale>
        <cfvo type="min"/>
        <cfvo type="percentile" val="50"/>
        <cfvo type="max"/>
        <color rgb="FFF8696B"/>
        <color rgb="FFFFEB84"/>
        <color rgb="FF63BE7B"/>
      </colorScale>
    </cfRule>
  </conditionalFormatting>
  <conditionalFormatting sqref="B51">
    <cfRule type="containsText" dxfId="26" priority="6" stopIfTrue="1" operator="containsText" text="Concern">
      <formula>NOT(ISERROR(SEARCH("Concern",B51)))</formula>
    </cfRule>
    <cfRule type="containsText" dxfId="25" priority="7" stopIfTrue="1" operator="containsText" text="Unacceptable">
      <formula>NOT(ISERROR(SEARCH("Unacceptable",B51)))</formula>
    </cfRule>
    <cfRule type="containsText" dxfId="24" priority="8" stopIfTrue="1" operator="containsText" text="Acceptable">
      <formula>NOT(ISERROR(SEARCH("Acceptable",B51)))</formula>
    </cfRule>
    <cfRule type="colorScale" priority="9">
      <colorScale>
        <cfvo type="min"/>
        <cfvo type="percentile" val="50"/>
        <cfvo type="max"/>
        <color rgb="FFF8696B"/>
        <color rgb="FFFFEB84"/>
        <color rgb="FF63BE7B"/>
      </colorScale>
    </cfRule>
  </conditionalFormatting>
  <conditionalFormatting sqref="B68">
    <cfRule type="containsText" dxfId="23" priority="10" stopIfTrue="1" operator="containsText" text="Concern">
      <formula>NOT(ISERROR(SEARCH("Concern",B68)))</formula>
    </cfRule>
    <cfRule type="containsText" dxfId="22" priority="11" stopIfTrue="1" operator="containsText" text="Unacceptable">
      <formula>NOT(ISERROR(SEARCH("Unacceptable",B68)))</formula>
    </cfRule>
    <cfRule type="containsText" dxfId="21" priority="12" stopIfTrue="1" operator="containsText" text="Acceptable">
      <formula>NOT(ISERROR(SEARCH("Acceptable",B68)))</formula>
    </cfRule>
    <cfRule type="colorScale" priority="13">
      <colorScale>
        <cfvo type="min"/>
        <cfvo type="percentile" val="50"/>
        <cfvo type="max"/>
        <color rgb="FFF8696B"/>
        <color rgb="FFFFEB84"/>
        <color rgb="FF63BE7B"/>
      </colorScale>
    </cfRule>
  </conditionalFormatting>
  <conditionalFormatting sqref="B85">
    <cfRule type="containsText" dxfId="20" priority="14" stopIfTrue="1" operator="containsText" text="Concern">
      <formula>NOT(ISERROR(SEARCH("Concern",B85)))</formula>
    </cfRule>
    <cfRule type="containsText" dxfId="19" priority="15" stopIfTrue="1" operator="containsText" text="Unacceptable">
      <formula>NOT(ISERROR(SEARCH("Unacceptable",B85)))</formula>
    </cfRule>
    <cfRule type="containsText" dxfId="18" priority="16" stopIfTrue="1" operator="containsText" text="Acceptable">
      <formula>NOT(ISERROR(SEARCH("Acceptable",B85)))</formula>
    </cfRule>
    <cfRule type="colorScale" priority="17">
      <colorScale>
        <cfvo type="min"/>
        <cfvo type="percentile" val="50"/>
        <cfvo type="max"/>
        <color rgb="FFF8696B"/>
        <color rgb="FFFFEB84"/>
        <color rgb="FF63BE7B"/>
      </colorScale>
    </cfRule>
  </conditionalFormatting>
  <conditionalFormatting sqref="B102">
    <cfRule type="containsText" dxfId="17" priority="18" stopIfTrue="1" operator="containsText" text="Concern">
      <formula>NOT(ISERROR(SEARCH("Concern",B102)))</formula>
    </cfRule>
    <cfRule type="containsText" dxfId="16" priority="19" stopIfTrue="1" operator="containsText" text="Unacceptable">
      <formula>NOT(ISERROR(SEARCH("Unacceptable",B102)))</formula>
    </cfRule>
    <cfRule type="containsText" dxfId="15" priority="20" stopIfTrue="1" operator="containsText" text="Acceptable">
      <formula>NOT(ISERROR(SEARCH("Acceptable",B102)))</formula>
    </cfRule>
    <cfRule type="colorScale" priority="21">
      <colorScale>
        <cfvo type="min"/>
        <cfvo type="percentile" val="50"/>
        <cfvo type="max"/>
        <color rgb="FFF8696B"/>
        <color rgb="FFFFEB84"/>
        <color rgb="FF63BE7B"/>
      </colorScale>
    </cfRule>
  </conditionalFormatting>
  <conditionalFormatting sqref="B119">
    <cfRule type="containsText" dxfId="14" priority="22" stopIfTrue="1" operator="containsText" text="Concern">
      <formula>NOT(ISERROR(SEARCH("Concern",B119)))</formula>
    </cfRule>
    <cfRule type="containsText" dxfId="13" priority="23" stopIfTrue="1" operator="containsText" text="Unacceptable">
      <formula>NOT(ISERROR(SEARCH("Unacceptable",B119)))</formula>
    </cfRule>
    <cfRule type="containsText" dxfId="12" priority="24" stopIfTrue="1" operator="containsText" text="Acceptable">
      <formula>NOT(ISERROR(SEARCH("Acceptable",B119)))</formula>
    </cfRule>
    <cfRule type="colorScale" priority="25">
      <colorScale>
        <cfvo type="min"/>
        <cfvo type="percentile" val="50"/>
        <cfvo type="max"/>
        <color rgb="FFF8696B"/>
        <color rgb="FFFFEB84"/>
        <color rgb="FF63BE7B"/>
      </colorScale>
    </cfRule>
  </conditionalFormatting>
  <conditionalFormatting sqref="B136">
    <cfRule type="containsText" dxfId="11" priority="26" stopIfTrue="1" operator="containsText" text="Concern">
      <formula>NOT(ISERROR(SEARCH("Concern",B136)))</formula>
    </cfRule>
    <cfRule type="containsText" dxfId="10" priority="27" stopIfTrue="1" operator="containsText" text="Unacceptable">
      <formula>NOT(ISERROR(SEARCH("Unacceptable",B136)))</formula>
    </cfRule>
    <cfRule type="containsText" dxfId="9" priority="28" stopIfTrue="1" operator="containsText" text="Acceptable">
      <formula>NOT(ISERROR(SEARCH("Acceptable",B136)))</formula>
    </cfRule>
    <cfRule type="colorScale" priority="29">
      <colorScale>
        <cfvo type="min"/>
        <cfvo type="percentile" val="50"/>
        <cfvo type="max"/>
        <color rgb="FFF8696B"/>
        <color rgb="FFFFEB84"/>
        <color rgb="FF63BE7B"/>
      </colorScale>
    </cfRule>
  </conditionalFormatting>
  <conditionalFormatting sqref="B153">
    <cfRule type="containsText" dxfId="8" priority="30" stopIfTrue="1" operator="containsText" text="Concern">
      <formula>NOT(ISERROR(SEARCH("Concern",B153)))</formula>
    </cfRule>
    <cfRule type="containsText" dxfId="7" priority="31" stopIfTrue="1" operator="containsText" text="Unacceptable">
      <formula>NOT(ISERROR(SEARCH("Unacceptable",B153)))</formula>
    </cfRule>
    <cfRule type="containsText" dxfId="6" priority="32" stopIfTrue="1" operator="containsText" text="Acceptable">
      <formula>NOT(ISERROR(SEARCH("Acceptable",B153)))</formula>
    </cfRule>
    <cfRule type="colorScale" priority="33">
      <colorScale>
        <cfvo type="min"/>
        <cfvo type="percentile" val="50"/>
        <cfvo type="max"/>
        <color rgb="FFF8696B"/>
        <color rgb="FFFFEB84"/>
        <color rgb="FF63BE7B"/>
      </colorScale>
    </cfRule>
  </conditionalFormatting>
  <conditionalFormatting sqref="B170">
    <cfRule type="containsText" dxfId="5" priority="34" stopIfTrue="1" operator="containsText" text="Concern">
      <formula>NOT(ISERROR(SEARCH("Concern",B170)))</formula>
    </cfRule>
    <cfRule type="containsText" dxfId="4" priority="35" stopIfTrue="1" operator="containsText" text="Unacceptable">
      <formula>NOT(ISERROR(SEARCH("Unacceptable",B170)))</formula>
    </cfRule>
    <cfRule type="containsText" dxfId="3" priority="36" stopIfTrue="1" operator="containsText" text="Acceptable">
      <formula>NOT(ISERROR(SEARCH("Acceptable",B170)))</formula>
    </cfRule>
    <cfRule type="colorScale" priority="37">
      <colorScale>
        <cfvo type="min"/>
        <cfvo type="percentile" val="50"/>
        <cfvo type="max"/>
        <color rgb="FFF8696B"/>
        <color rgb="FFFFEB84"/>
        <color rgb="FF63BE7B"/>
      </colorScale>
    </cfRule>
  </conditionalFormatting>
  <conditionalFormatting sqref="B187">
    <cfRule type="containsText" dxfId="2" priority="38" stopIfTrue="1" operator="containsText" text="Concern">
      <formula>NOT(ISERROR(SEARCH("Concern",B187)))</formula>
    </cfRule>
    <cfRule type="containsText" dxfId="1" priority="39" stopIfTrue="1" operator="containsText" text="Unacceptable">
      <formula>NOT(ISERROR(SEARCH("Unacceptable",B187)))</formula>
    </cfRule>
    <cfRule type="containsText" dxfId="0" priority="40" stopIfTrue="1" operator="containsText" text="Acceptable">
      <formula>NOT(ISERROR(SEARCH("Acceptable",B187)))</formula>
    </cfRule>
    <cfRule type="colorScale" priority="41">
      <colorScale>
        <cfvo type="min"/>
        <cfvo type="percentile" val="50"/>
        <cfvo type="max"/>
        <color rgb="FFF8696B"/>
        <color rgb="FFFFEB84"/>
        <color rgb="FF63BE7B"/>
      </colorScale>
    </cfRule>
  </conditionalFormatting>
  <dataValidations count="6">
    <dataValidation type="list" allowBlank="1" showInputMessage="1" showErrorMessage="1" sqref="B51 B68 B85 B102 B119 B136 B153 B170 B187 B34" xr:uid="{00000000-0002-0000-0200-000000000000}">
      <formula1>Rating</formula1>
    </dataValidation>
    <dataValidation allowBlank="1" showInputMessage="1" showErrorMessage="1" promptTitle="Red Flag" prompt="Value total of 4 or less" sqref="B37" xr:uid="{00000000-0002-0000-0200-000001000000}"/>
    <dataValidation type="list" allowBlank="1" showInputMessage="1" showErrorMessage="1" sqref="G25:I25 G42:I42 G59:I59 G76:I76 G93:I93 G110:I110 G127:I127 G144:I144 G161:I161 G178:I178" xr:uid="{00000000-0002-0000-0200-000002000000}">
      <formula1>Safety</formula1>
    </dataValidation>
    <dataValidation type="list" allowBlank="1" showInputMessage="1" showErrorMessage="1" sqref="H7:I7" xr:uid="{00000000-0002-0000-0200-000003000000}">
      <formula1>Setting</formula1>
    </dataValidation>
    <dataValidation type="list" allowBlank="1" showInputMessage="1" showErrorMessage="1" sqref="C6" xr:uid="{00000000-0002-0000-0200-000004000000}">
      <formula1>COI</formula1>
    </dataValidation>
    <dataValidation type="list" allowBlank="1" showInputMessage="1" showErrorMessage="1" sqref="C25 C42 C59 C76 C93 C110 C127 C144 C161 C178" xr:uid="{00000000-0002-0000-0200-000005000000}">
      <formula1>Type</formula1>
    </dataValidation>
  </dataValidations>
  <pageMargins left="0.7" right="0.7" top="0.75" bottom="0.75" header="0.3" footer="0.3"/>
  <pageSetup paperSize="9" scale="74" fitToHeight="0" orientation="portrait" horizontalDpi="4294967295" verticalDpi="4294967295" r:id="rId1"/>
  <ignoredErrors>
    <ignoredError sqref="C200" formula="1"/>
    <ignoredError sqref="H199:H201 D199:D201" evalError="1"/>
  </ignoredError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7030A0"/>
  </sheetPr>
  <dimension ref="A1:C74"/>
  <sheetViews>
    <sheetView workbookViewId="0">
      <selection activeCell="A19" sqref="A19:A25"/>
    </sheetView>
  </sheetViews>
  <sheetFormatPr defaultRowHeight="12.75" x14ac:dyDescent="0.35"/>
  <cols>
    <col min="2" max="2" width="19.86328125" customWidth="1"/>
    <col min="3" max="3" width="142.86328125" customWidth="1"/>
  </cols>
  <sheetData>
    <row r="1" spans="1:3" ht="14.65" thickBot="1" x14ac:dyDescent="0.4">
      <c r="A1" s="20"/>
      <c r="B1" s="21" t="s">
        <v>107</v>
      </c>
      <c r="C1" s="21" t="s">
        <v>108</v>
      </c>
    </row>
    <row r="2" spans="1:3" ht="14.25" x14ac:dyDescent="0.35">
      <c r="A2" s="309">
        <v>1</v>
      </c>
      <c r="B2" s="312" t="s">
        <v>43</v>
      </c>
      <c r="C2" s="22" t="s">
        <v>109</v>
      </c>
    </row>
    <row r="3" spans="1:3" ht="30.75" customHeight="1" x14ac:dyDescent="0.35">
      <c r="A3" s="310"/>
      <c r="B3" s="313"/>
      <c r="C3" s="23" t="s">
        <v>110</v>
      </c>
    </row>
    <row r="4" spans="1:3" ht="21.75" customHeight="1" x14ac:dyDescent="0.35">
      <c r="A4" s="310"/>
      <c r="B4" s="313"/>
      <c r="C4" s="22" t="s">
        <v>111</v>
      </c>
    </row>
    <row r="5" spans="1:3" ht="24.75" customHeight="1" x14ac:dyDescent="0.35">
      <c r="A5" s="310"/>
      <c r="B5" s="313"/>
      <c r="C5" s="23" t="s">
        <v>112</v>
      </c>
    </row>
    <row r="6" spans="1:3" ht="14.25" x14ac:dyDescent="0.35">
      <c r="A6" s="310"/>
      <c r="B6" s="313"/>
      <c r="C6" s="22" t="s">
        <v>113</v>
      </c>
    </row>
    <row r="7" spans="1:3" ht="26.25" customHeight="1" thickBot="1" x14ac:dyDescent="0.4">
      <c r="A7" s="311"/>
      <c r="B7" s="314"/>
      <c r="C7" s="24" t="s">
        <v>114</v>
      </c>
    </row>
    <row r="8" spans="1:3" ht="14.25" x14ac:dyDescent="0.35">
      <c r="A8" s="309">
        <v>2</v>
      </c>
      <c r="B8" s="312" t="s">
        <v>44</v>
      </c>
      <c r="C8" s="22" t="s">
        <v>109</v>
      </c>
    </row>
    <row r="9" spans="1:3" ht="18.75" customHeight="1" x14ac:dyDescent="0.35">
      <c r="A9" s="310"/>
      <c r="B9" s="313"/>
      <c r="C9" s="23" t="s">
        <v>44</v>
      </c>
    </row>
    <row r="10" spans="1:3" ht="14.25" x14ac:dyDescent="0.35">
      <c r="A10" s="310"/>
      <c r="B10" s="313"/>
      <c r="C10" s="22" t="s">
        <v>113</v>
      </c>
    </row>
    <row r="11" spans="1:3" ht="36" customHeight="1" thickBot="1" x14ac:dyDescent="0.4">
      <c r="A11" s="311"/>
      <c r="B11" s="314"/>
      <c r="C11" s="24" t="s">
        <v>115</v>
      </c>
    </row>
    <row r="12" spans="1:3" ht="14.25" x14ac:dyDescent="0.35">
      <c r="A12" s="309">
        <v>3</v>
      </c>
      <c r="B12" s="312" t="s">
        <v>45</v>
      </c>
      <c r="C12" s="22" t="s">
        <v>109</v>
      </c>
    </row>
    <row r="13" spans="1:3" ht="25.5" customHeight="1" x14ac:dyDescent="0.35">
      <c r="A13" s="310"/>
      <c r="B13" s="313"/>
      <c r="C13" s="23" t="s">
        <v>116</v>
      </c>
    </row>
    <row r="14" spans="1:3" ht="33.75" customHeight="1" x14ac:dyDescent="0.35">
      <c r="A14" s="310"/>
      <c r="B14" s="313"/>
      <c r="C14" s="23" t="s">
        <v>117</v>
      </c>
    </row>
    <row r="15" spans="1:3" ht="14.25" x14ac:dyDescent="0.35">
      <c r="A15" s="310"/>
      <c r="B15" s="313"/>
      <c r="C15" s="22" t="s">
        <v>118</v>
      </c>
    </row>
    <row r="16" spans="1:3" ht="27" customHeight="1" x14ac:dyDescent="0.35">
      <c r="A16" s="310"/>
      <c r="B16" s="313"/>
      <c r="C16" s="23" t="s">
        <v>119</v>
      </c>
    </row>
    <row r="17" spans="1:3" ht="14.25" x14ac:dyDescent="0.35">
      <c r="A17" s="310"/>
      <c r="B17" s="313"/>
      <c r="C17" s="22" t="s">
        <v>113</v>
      </c>
    </row>
    <row r="18" spans="1:3" ht="32.25" customHeight="1" thickBot="1" x14ac:dyDescent="0.4">
      <c r="A18" s="311"/>
      <c r="B18" s="314"/>
      <c r="C18" s="24" t="s">
        <v>120</v>
      </c>
    </row>
    <row r="19" spans="1:3" ht="14.25" x14ac:dyDescent="0.35">
      <c r="A19" s="309">
        <v>4</v>
      </c>
      <c r="B19" s="312" t="s">
        <v>46</v>
      </c>
      <c r="C19" s="22" t="s">
        <v>109</v>
      </c>
    </row>
    <row r="20" spans="1:3" ht="22.5" customHeight="1" x14ac:dyDescent="0.35">
      <c r="A20" s="310"/>
      <c r="B20" s="313"/>
      <c r="C20" s="23" t="s">
        <v>116</v>
      </c>
    </row>
    <row r="21" spans="1:3" ht="35.25" customHeight="1" x14ac:dyDescent="0.35">
      <c r="A21" s="310"/>
      <c r="B21" s="313"/>
      <c r="C21" s="23" t="s">
        <v>117</v>
      </c>
    </row>
    <row r="22" spans="1:3" ht="14.25" x14ac:dyDescent="0.35">
      <c r="A22" s="310"/>
      <c r="B22" s="313"/>
      <c r="C22" s="22" t="s">
        <v>118</v>
      </c>
    </row>
    <row r="23" spans="1:3" ht="32.25" customHeight="1" x14ac:dyDescent="0.35">
      <c r="A23" s="310"/>
      <c r="B23" s="313"/>
      <c r="C23" s="23" t="s">
        <v>119</v>
      </c>
    </row>
    <row r="24" spans="1:3" ht="24" customHeight="1" x14ac:dyDescent="0.35">
      <c r="A24" s="310"/>
      <c r="B24" s="313"/>
      <c r="C24" s="22" t="s">
        <v>113</v>
      </c>
    </row>
    <row r="25" spans="1:3" ht="24.75" customHeight="1" thickBot="1" x14ac:dyDescent="0.4">
      <c r="A25" s="311"/>
      <c r="B25" s="314"/>
      <c r="C25" s="24" t="s">
        <v>120</v>
      </c>
    </row>
    <row r="26" spans="1:3" ht="30" customHeight="1" x14ac:dyDescent="0.35">
      <c r="A26" s="309">
        <v>5</v>
      </c>
      <c r="B26" s="312" t="s">
        <v>48</v>
      </c>
      <c r="C26" s="22" t="s">
        <v>109</v>
      </c>
    </row>
    <row r="27" spans="1:3" ht="20.25" customHeight="1" x14ac:dyDescent="0.35">
      <c r="A27" s="310"/>
      <c r="B27" s="313"/>
      <c r="C27" s="23" t="s">
        <v>116</v>
      </c>
    </row>
    <row r="28" spans="1:3" ht="17.25" customHeight="1" x14ac:dyDescent="0.35">
      <c r="A28" s="310"/>
      <c r="B28" s="313"/>
      <c r="C28" s="23" t="s">
        <v>117</v>
      </c>
    </row>
    <row r="29" spans="1:3" ht="21" customHeight="1" x14ac:dyDescent="0.35">
      <c r="A29" s="310"/>
      <c r="B29" s="313"/>
      <c r="C29" s="22" t="s">
        <v>118</v>
      </c>
    </row>
    <row r="30" spans="1:3" ht="25.5" customHeight="1" x14ac:dyDescent="0.35">
      <c r="A30" s="310"/>
      <c r="B30" s="313"/>
      <c r="C30" s="23" t="s">
        <v>119</v>
      </c>
    </row>
    <row r="31" spans="1:3" ht="28.5" customHeight="1" x14ac:dyDescent="0.35">
      <c r="A31" s="310"/>
      <c r="B31" s="313"/>
      <c r="C31" s="22" t="s">
        <v>113</v>
      </c>
    </row>
    <row r="32" spans="1:3" ht="27" customHeight="1" thickBot="1" x14ac:dyDescent="0.4">
      <c r="A32" s="311"/>
      <c r="B32" s="314"/>
      <c r="C32" s="24" t="s">
        <v>120</v>
      </c>
    </row>
    <row r="33" spans="1:3" ht="14.25" x14ac:dyDescent="0.35">
      <c r="A33" s="309">
        <v>6</v>
      </c>
      <c r="B33" s="312" t="s">
        <v>49</v>
      </c>
      <c r="C33" s="22" t="s">
        <v>109</v>
      </c>
    </row>
    <row r="34" spans="1:3" ht="25.5" customHeight="1" x14ac:dyDescent="0.35">
      <c r="A34" s="310"/>
      <c r="B34" s="313"/>
      <c r="C34" s="23" t="s">
        <v>121</v>
      </c>
    </row>
    <row r="35" spans="1:3" ht="14.25" x14ac:dyDescent="0.35">
      <c r="A35" s="310"/>
      <c r="B35" s="313"/>
      <c r="C35" s="22" t="s">
        <v>111</v>
      </c>
    </row>
    <row r="36" spans="1:3" ht="30" customHeight="1" x14ac:dyDescent="0.35">
      <c r="A36" s="310"/>
      <c r="B36" s="313"/>
      <c r="C36" s="23" t="s">
        <v>122</v>
      </c>
    </row>
    <row r="37" spans="1:3" ht="14.25" x14ac:dyDescent="0.35">
      <c r="A37" s="310"/>
      <c r="B37" s="313"/>
      <c r="C37" s="22" t="s">
        <v>113</v>
      </c>
    </row>
    <row r="38" spans="1:3" ht="30" customHeight="1" thickBot="1" x14ac:dyDescent="0.4">
      <c r="A38" s="311"/>
      <c r="B38" s="314"/>
      <c r="C38" s="24" t="s">
        <v>123</v>
      </c>
    </row>
    <row r="39" spans="1:3" ht="14.25" x14ac:dyDescent="0.35">
      <c r="A39" s="309">
        <v>7</v>
      </c>
      <c r="B39" s="312" t="s">
        <v>51</v>
      </c>
      <c r="C39" s="22" t="s">
        <v>109</v>
      </c>
    </row>
    <row r="40" spans="1:3" ht="30" customHeight="1" x14ac:dyDescent="0.35">
      <c r="A40" s="310"/>
      <c r="B40" s="313"/>
      <c r="C40" s="23" t="s">
        <v>124</v>
      </c>
    </row>
    <row r="41" spans="1:3" ht="14.25" x14ac:dyDescent="0.35">
      <c r="A41" s="310"/>
      <c r="B41" s="313"/>
      <c r="C41" s="22" t="s">
        <v>111</v>
      </c>
    </row>
    <row r="42" spans="1:3" ht="30.75" customHeight="1" x14ac:dyDescent="0.35">
      <c r="A42" s="310"/>
      <c r="B42" s="313"/>
      <c r="C42" s="23" t="s">
        <v>125</v>
      </c>
    </row>
    <row r="43" spans="1:3" ht="14.25" x14ac:dyDescent="0.35">
      <c r="A43" s="310"/>
      <c r="B43" s="313"/>
      <c r="C43" s="22" t="s">
        <v>113</v>
      </c>
    </row>
    <row r="44" spans="1:3" ht="43.5" customHeight="1" thickBot="1" x14ac:dyDescent="0.4">
      <c r="A44" s="311"/>
      <c r="B44" s="314"/>
      <c r="C44" s="24" t="s">
        <v>126</v>
      </c>
    </row>
    <row r="45" spans="1:3" ht="14.25" x14ac:dyDescent="0.35">
      <c r="A45" s="309">
        <v>8</v>
      </c>
      <c r="B45" s="312" t="s">
        <v>52</v>
      </c>
      <c r="C45" s="22" t="s">
        <v>109</v>
      </c>
    </row>
    <row r="46" spans="1:3" ht="28.5" customHeight="1" x14ac:dyDescent="0.35">
      <c r="A46" s="310"/>
      <c r="B46" s="313"/>
      <c r="C46" s="23" t="s">
        <v>127</v>
      </c>
    </row>
    <row r="47" spans="1:3" ht="14.25" x14ac:dyDescent="0.35">
      <c r="A47" s="310"/>
      <c r="B47" s="313"/>
      <c r="C47" s="22" t="s">
        <v>111</v>
      </c>
    </row>
    <row r="48" spans="1:3" ht="29.25" customHeight="1" x14ac:dyDescent="0.35">
      <c r="A48" s="310"/>
      <c r="B48" s="313"/>
      <c r="C48" s="23" t="s">
        <v>128</v>
      </c>
    </row>
    <row r="49" spans="1:3" ht="14.25" x14ac:dyDescent="0.35">
      <c r="A49" s="310"/>
      <c r="B49" s="313"/>
      <c r="C49" s="22" t="s">
        <v>113</v>
      </c>
    </row>
    <row r="50" spans="1:3" ht="24" customHeight="1" thickBot="1" x14ac:dyDescent="0.4">
      <c r="A50" s="311"/>
      <c r="B50" s="314"/>
      <c r="C50" s="24" t="s">
        <v>129</v>
      </c>
    </row>
    <row r="51" spans="1:3" ht="14.25" x14ac:dyDescent="0.35">
      <c r="A51" s="309">
        <v>9</v>
      </c>
      <c r="B51" s="312" t="s">
        <v>53</v>
      </c>
      <c r="C51" s="22" t="s">
        <v>109</v>
      </c>
    </row>
    <row r="52" spans="1:3" ht="27" customHeight="1" x14ac:dyDescent="0.35">
      <c r="A52" s="310"/>
      <c r="B52" s="313"/>
      <c r="C52" s="23" t="s">
        <v>130</v>
      </c>
    </row>
    <row r="53" spans="1:3" ht="14.25" x14ac:dyDescent="0.35">
      <c r="A53" s="310"/>
      <c r="B53" s="313"/>
      <c r="C53" s="22" t="s">
        <v>111</v>
      </c>
    </row>
    <row r="54" spans="1:3" ht="24.75" customHeight="1" x14ac:dyDescent="0.35">
      <c r="A54" s="310"/>
      <c r="B54" s="313"/>
      <c r="C54" s="23" t="s">
        <v>131</v>
      </c>
    </row>
    <row r="55" spans="1:3" ht="14.25" x14ac:dyDescent="0.35">
      <c r="A55" s="310"/>
      <c r="B55" s="313"/>
      <c r="C55" s="22" t="s">
        <v>113</v>
      </c>
    </row>
    <row r="56" spans="1:3" ht="32.25" customHeight="1" thickBot="1" x14ac:dyDescent="0.4">
      <c r="A56" s="311"/>
      <c r="B56" s="314"/>
      <c r="C56" s="24" t="s">
        <v>132</v>
      </c>
    </row>
    <row r="57" spans="1:3" ht="14.25" x14ac:dyDescent="0.35">
      <c r="A57" s="309">
        <v>10</v>
      </c>
      <c r="B57" s="312" t="s">
        <v>55</v>
      </c>
      <c r="C57" s="22" t="s">
        <v>109</v>
      </c>
    </row>
    <row r="58" spans="1:3" ht="33" customHeight="1" x14ac:dyDescent="0.35">
      <c r="A58" s="310"/>
      <c r="B58" s="313"/>
      <c r="C58" s="23" t="s">
        <v>133</v>
      </c>
    </row>
    <row r="59" spans="1:3" ht="14.25" x14ac:dyDescent="0.35">
      <c r="A59" s="310"/>
      <c r="B59" s="313"/>
      <c r="C59" s="22" t="s">
        <v>111</v>
      </c>
    </row>
    <row r="60" spans="1:3" ht="30" customHeight="1" x14ac:dyDescent="0.35">
      <c r="A60" s="310"/>
      <c r="B60" s="313"/>
      <c r="C60" s="23" t="s">
        <v>134</v>
      </c>
    </row>
    <row r="61" spans="1:3" ht="14.25" x14ac:dyDescent="0.35">
      <c r="A61" s="310"/>
      <c r="B61" s="313"/>
      <c r="C61" s="22" t="s">
        <v>113</v>
      </c>
    </row>
    <row r="62" spans="1:3" ht="34.5" customHeight="1" thickBot="1" x14ac:dyDescent="0.4">
      <c r="A62" s="311"/>
      <c r="B62" s="314"/>
      <c r="C62" s="24" t="s">
        <v>135</v>
      </c>
    </row>
    <row r="63" spans="1:3" ht="14.25" x14ac:dyDescent="0.35">
      <c r="A63" s="309">
        <v>11</v>
      </c>
      <c r="B63" s="312" t="s">
        <v>56</v>
      </c>
      <c r="C63" s="22" t="s">
        <v>109</v>
      </c>
    </row>
    <row r="64" spans="1:3" ht="26.25" customHeight="1" x14ac:dyDescent="0.35">
      <c r="A64" s="310"/>
      <c r="B64" s="313"/>
      <c r="C64" s="23" t="s">
        <v>136</v>
      </c>
    </row>
    <row r="65" spans="1:3" ht="14.25" x14ac:dyDescent="0.35">
      <c r="A65" s="310"/>
      <c r="B65" s="313"/>
      <c r="C65" s="22" t="s">
        <v>111</v>
      </c>
    </row>
    <row r="66" spans="1:3" ht="27.75" customHeight="1" x14ac:dyDescent="0.35">
      <c r="A66" s="310"/>
      <c r="B66" s="313"/>
      <c r="C66" s="23" t="s">
        <v>137</v>
      </c>
    </row>
    <row r="67" spans="1:3" ht="14.25" x14ac:dyDescent="0.35">
      <c r="A67" s="310"/>
      <c r="B67" s="313"/>
      <c r="C67" s="22" t="s">
        <v>113</v>
      </c>
    </row>
    <row r="68" spans="1:3" ht="30.75" customHeight="1" thickBot="1" x14ac:dyDescent="0.4">
      <c r="A68" s="311"/>
      <c r="B68" s="314"/>
      <c r="C68" s="24" t="s">
        <v>138</v>
      </c>
    </row>
    <row r="69" spans="1:3" ht="14.25" x14ac:dyDescent="0.35">
      <c r="A69" s="309">
        <v>12</v>
      </c>
      <c r="B69" s="312" t="s">
        <v>139</v>
      </c>
      <c r="C69" s="22" t="s">
        <v>109</v>
      </c>
    </row>
    <row r="70" spans="1:3" ht="26.25" customHeight="1" x14ac:dyDescent="0.35">
      <c r="A70" s="310"/>
      <c r="B70" s="313"/>
      <c r="C70" s="23" t="s">
        <v>140</v>
      </c>
    </row>
    <row r="71" spans="1:3" ht="14.25" x14ac:dyDescent="0.35">
      <c r="A71" s="310"/>
      <c r="B71" s="313"/>
      <c r="C71" s="22" t="s">
        <v>111</v>
      </c>
    </row>
    <row r="72" spans="1:3" ht="32.25" customHeight="1" x14ac:dyDescent="0.35">
      <c r="A72" s="310"/>
      <c r="B72" s="313"/>
      <c r="C72" s="23" t="s">
        <v>141</v>
      </c>
    </row>
    <row r="73" spans="1:3" ht="14.25" x14ac:dyDescent="0.35">
      <c r="A73" s="310"/>
      <c r="B73" s="313"/>
      <c r="C73" s="22" t="s">
        <v>113</v>
      </c>
    </row>
    <row r="74" spans="1:3" ht="31.5" customHeight="1" thickBot="1" x14ac:dyDescent="0.4">
      <c r="A74" s="311"/>
      <c r="B74" s="314"/>
      <c r="C74" s="24" t="s">
        <v>142</v>
      </c>
    </row>
  </sheetData>
  <mergeCells count="24">
    <mergeCell ref="A57:A62"/>
    <mergeCell ref="B57:B62"/>
    <mergeCell ref="A63:A68"/>
    <mergeCell ref="B63:B68"/>
    <mergeCell ref="A69:A74"/>
    <mergeCell ref="B69:B74"/>
    <mergeCell ref="A39:A44"/>
    <mergeCell ref="B39:B44"/>
    <mergeCell ref="A45:A50"/>
    <mergeCell ref="B45:B50"/>
    <mergeCell ref="A51:A56"/>
    <mergeCell ref="B51:B56"/>
    <mergeCell ref="A19:A25"/>
    <mergeCell ref="B19:B25"/>
    <mergeCell ref="A26:A32"/>
    <mergeCell ref="B26:B32"/>
    <mergeCell ref="A33:A38"/>
    <mergeCell ref="B33:B38"/>
    <mergeCell ref="A2:A7"/>
    <mergeCell ref="B2:B7"/>
    <mergeCell ref="A8:A11"/>
    <mergeCell ref="B8:B11"/>
    <mergeCell ref="A12:A18"/>
    <mergeCell ref="B12:B1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A1:P53"/>
  <sheetViews>
    <sheetView topLeftCell="A18" workbookViewId="0">
      <selection activeCell="F53" sqref="F53"/>
    </sheetView>
  </sheetViews>
  <sheetFormatPr defaultColWidth="8.73046875" defaultRowHeight="13.15" x14ac:dyDescent="0.4"/>
  <cols>
    <col min="1" max="1" width="29.59765625" style="152" customWidth="1"/>
    <col min="2" max="2" width="15.1328125" style="152" customWidth="1"/>
    <col min="3" max="3" width="21.59765625" style="152" customWidth="1"/>
    <col min="4" max="4" width="23.86328125" style="152" customWidth="1"/>
    <col min="5" max="5" width="25.265625" style="152" customWidth="1"/>
    <col min="6" max="16384" width="8.73046875" style="152"/>
  </cols>
  <sheetData>
    <row r="1" spans="1:16" x14ac:dyDescent="0.4">
      <c r="A1" s="150" t="s">
        <v>1</v>
      </c>
      <c r="M1" s="154"/>
      <c r="N1" s="154"/>
      <c r="O1" s="154"/>
      <c r="P1" s="154"/>
    </row>
    <row r="2" spans="1:16" x14ac:dyDescent="0.4">
      <c r="A2" s="151" t="s">
        <v>143</v>
      </c>
      <c r="M2" s="315"/>
      <c r="N2" s="316"/>
      <c r="O2" s="316"/>
      <c r="P2" s="317"/>
    </row>
    <row r="3" spans="1:16" x14ac:dyDescent="0.4">
      <c r="A3" s="152" t="s">
        <v>1</v>
      </c>
      <c r="M3" s="318"/>
      <c r="N3" s="319"/>
      <c r="O3" s="319"/>
      <c r="P3" s="320"/>
    </row>
    <row r="4" spans="1:16" x14ac:dyDescent="0.4">
      <c r="M4" s="318"/>
      <c r="N4" s="319"/>
      <c r="O4" s="319"/>
      <c r="P4" s="320"/>
    </row>
    <row r="5" spans="1:16" x14ac:dyDescent="0.4">
      <c r="A5" s="152" t="s">
        <v>1</v>
      </c>
      <c r="M5" s="318"/>
      <c r="N5" s="319"/>
      <c r="O5" s="319"/>
      <c r="P5" s="320"/>
    </row>
    <row r="6" spans="1:16" x14ac:dyDescent="0.4">
      <c r="A6" s="152" t="s">
        <v>144</v>
      </c>
      <c r="M6" s="318"/>
      <c r="N6" s="319"/>
      <c r="O6" s="319"/>
      <c r="P6" s="320"/>
    </row>
    <row r="7" spans="1:16" x14ac:dyDescent="0.4">
      <c r="A7" s="152" t="s">
        <v>145</v>
      </c>
      <c r="M7" s="321"/>
      <c r="N7" s="322"/>
      <c r="O7" s="322"/>
      <c r="P7" s="323"/>
    </row>
    <row r="8" spans="1:16" x14ac:dyDescent="0.4">
      <c r="A8" s="152" t="s">
        <v>76</v>
      </c>
    </row>
    <row r="9" spans="1:16" x14ac:dyDescent="0.4">
      <c r="C9" s="152" t="s">
        <v>146</v>
      </c>
      <c r="F9" s="152" t="s">
        <v>147</v>
      </c>
    </row>
    <row r="10" spans="1:16" ht="18" customHeight="1" x14ac:dyDescent="0.4">
      <c r="A10" s="152" t="s">
        <v>148</v>
      </c>
      <c r="C10" s="152" t="s">
        <v>83</v>
      </c>
    </row>
    <row r="11" spans="1:16" x14ac:dyDescent="0.4">
      <c r="C11" s="152" t="s">
        <v>95</v>
      </c>
    </row>
    <row r="12" spans="1:16" x14ac:dyDescent="0.4">
      <c r="A12" s="152" t="s">
        <v>1</v>
      </c>
      <c r="C12" s="152" t="s">
        <v>149</v>
      </c>
    </row>
    <row r="13" spans="1:16" x14ac:dyDescent="0.4">
      <c r="A13" s="152" t="s">
        <v>1</v>
      </c>
      <c r="C13" s="152" t="s">
        <v>150</v>
      </c>
    </row>
    <row r="14" spans="1:16" x14ac:dyDescent="0.4">
      <c r="A14" s="152" t="s">
        <v>1</v>
      </c>
      <c r="C14" s="152" t="s">
        <v>151</v>
      </c>
    </row>
    <row r="15" spans="1:16" x14ac:dyDescent="0.4">
      <c r="C15" s="152" t="s">
        <v>152</v>
      </c>
    </row>
    <row r="16" spans="1:16" x14ac:dyDescent="0.4">
      <c r="C16" s="152" t="s">
        <v>153</v>
      </c>
    </row>
    <row r="17" spans="1:11" x14ac:dyDescent="0.4">
      <c r="C17" s="152" t="s">
        <v>1</v>
      </c>
    </row>
    <row r="18" spans="1:11" x14ac:dyDescent="0.4">
      <c r="A18" s="151" t="s">
        <v>154</v>
      </c>
      <c r="B18" s="326"/>
      <c r="C18" s="327"/>
      <c r="D18" s="327"/>
      <c r="E18" s="327"/>
      <c r="F18" s="327"/>
      <c r="G18" s="327"/>
      <c r="H18" s="327"/>
      <c r="I18" s="327"/>
      <c r="J18" s="327"/>
      <c r="K18" s="327"/>
    </row>
    <row r="19" spans="1:11" x14ac:dyDescent="0.4">
      <c r="B19" s="327"/>
      <c r="C19" s="327"/>
      <c r="D19" s="327"/>
      <c r="E19" s="327"/>
      <c r="F19" s="327"/>
      <c r="G19" s="327"/>
      <c r="H19" s="327"/>
      <c r="I19" s="327"/>
      <c r="J19" s="327"/>
      <c r="K19" s="327"/>
    </row>
    <row r="20" spans="1:11" x14ac:dyDescent="0.4">
      <c r="A20" s="152" t="s">
        <v>155</v>
      </c>
      <c r="B20" s="327"/>
      <c r="C20" s="327"/>
      <c r="D20" s="327"/>
      <c r="E20" s="327"/>
      <c r="F20" s="327"/>
      <c r="G20" s="327"/>
      <c r="H20" s="327"/>
      <c r="I20" s="327"/>
      <c r="J20" s="327"/>
      <c r="K20" s="327"/>
    </row>
    <row r="21" spans="1:11" x14ac:dyDescent="0.4">
      <c r="B21" s="327"/>
      <c r="C21" s="327"/>
      <c r="D21" s="327"/>
      <c r="E21" s="327"/>
      <c r="F21" s="327"/>
      <c r="G21" s="327"/>
      <c r="H21" s="327"/>
      <c r="I21" s="327"/>
      <c r="J21" s="327"/>
      <c r="K21" s="327"/>
    </row>
    <row r="22" spans="1:11" ht="25.9" x14ac:dyDescent="0.4">
      <c r="A22" s="153" t="s">
        <v>156</v>
      </c>
      <c r="B22" s="327"/>
      <c r="C22" s="327"/>
      <c r="D22" s="327"/>
      <c r="E22" s="327"/>
      <c r="F22" s="327"/>
      <c r="G22" s="327"/>
      <c r="H22" s="327"/>
      <c r="I22" s="327"/>
      <c r="J22" s="327"/>
      <c r="K22" s="327"/>
    </row>
    <row r="23" spans="1:11" x14ac:dyDescent="0.4">
      <c r="A23" s="36" t="s">
        <v>157</v>
      </c>
      <c r="B23" s="327"/>
      <c r="C23" s="327"/>
      <c r="D23" s="327"/>
      <c r="E23" s="327"/>
      <c r="F23" s="327"/>
      <c r="G23" s="327"/>
      <c r="H23" s="327"/>
      <c r="I23" s="327"/>
      <c r="J23" s="327"/>
      <c r="K23" s="327"/>
    </row>
    <row r="24" spans="1:11" x14ac:dyDescent="0.4">
      <c r="A24" s="36" t="s">
        <v>158</v>
      </c>
      <c r="B24" s="327"/>
      <c r="C24" s="327"/>
      <c r="D24" s="327"/>
      <c r="E24" s="327"/>
      <c r="F24" s="327"/>
      <c r="G24" s="327"/>
      <c r="H24" s="327"/>
      <c r="I24" s="327"/>
      <c r="J24" s="327"/>
      <c r="K24" s="327"/>
    </row>
    <row r="25" spans="1:11" x14ac:dyDescent="0.4">
      <c r="A25" s="36" t="s">
        <v>159</v>
      </c>
      <c r="B25" s="327"/>
      <c r="C25" s="327"/>
      <c r="D25" s="327"/>
      <c r="E25" s="327"/>
      <c r="F25" s="327"/>
      <c r="G25" s="327"/>
      <c r="H25" s="327"/>
      <c r="I25" s="327"/>
      <c r="J25" s="327"/>
      <c r="K25" s="327"/>
    </row>
    <row r="26" spans="1:11" x14ac:dyDescent="0.4">
      <c r="B26" s="327"/>
      <c r="C26" s="327"/>
      <c r="D26" s="327"/>
      <c r="E26" s="327"/>
      <c r="F26" s="327"/>
      <c r="G26" s="327"/>
      <c r="H26" s="327"/>
      <c r="I26" s="327"/>
      <c r="J26" s="327"/>
      <c r="K26" s="327"/>
    </row>
    <row r="27" spans="1:11" x14ac:dyDescent="0.4">
      <c r="B27" s="327"/>
      <c r="C27" s="327"/>
      <c r="D27" s="327"/>
      <c r="E27" s="327"/>
      <c r="F27" s="327"/>
      <c r="G27" s="327"/>
      <c r="H27" s="327"/>
      <c r="I27" s="327"/>
      <c r="J27" s="327"/>
      <c r="K27" s="327"/>
    </row>
    <row r="29" spans="1:11" s="151" customFormat="1" x14ac:dyDescent="0.4">
      <c r="A29" s="151" t="s">
        <v>160</v>
      </c>
    </row>
    <row r="31" spans="1:11" x14ac:dyDescent="0.4">
      <c r="B31" s="328"/>
      <c r="C31" s="329"/>
      <c r="D31" s="329"/>
      <c r="E31" s="329"/>
      <c r="F31" s="329"/>
      <c r="G31" s="329"/>
      <c r="H31" s="329"/>
      <c r="I31" s="329"/>
      <c r="J31" s="329"/>
      <c r="K31" s="227"/>
    </row>
    <row r="32" spans="1:11" x14ac:dyDescent="0.4">
      <c r="B32" s="330"/>
      <c r="C32" s="173"/>
      <c r="D32" s="173"/>
      <c r="E32" s="173"/>
      <c r="F32" s="173"/>
      <c r="G32" s="173"/>
      <c r="H32" s="173"/>
      <c r="I32" s="173"/>
      <c r="J32" s="173"/>
      <c r="K32" s="331"/>
    </row>
    <row r="33" spans="2:11" x14ac:dyDescent="0.4">
      <c r="B33" s="330"/>
      <c r="C33" s="173"/>
      <c r="D33" s="173"/>
      <c r="E33" s="173"/>
      <c r="F33" s="173"/>
      <c r="G33" s="173"/>
      <c r="H33" s="173"/>
      <c r="I33" s="173"/>
      <c r="J33" s="173"/>
      <c r="K33" s="331"/>
    </row>
    <row r="34" spans="2:11" x14ac:dyDescent="0.4">
      <c r="B34" s="330"/>
      <c r="C34" s="173"/>
      <c r="D34" s="173"/>
      <c r="E34" s="173"/>
      <c r="F34" s="173"/>
      <c r="G34" s="173"/>
      <c r="H34" s="173"/>
      <c r="I34" s="173"/>
      <c r="J34" s="173"/>
      <c r="K34" s="331"/>
    </row>
    <row r="35" spans="2:11" x14ac:dyDescent="0.4">
      <c r="B35" s="330"/>
      <c r="C35" s="173"/>
      <c r="D35" s="173"/>
      <c r="E35" s="173"/>
      <c r="F35" s="173"/>
      <c r="G35" s="173"/>
      <c r="H35" s="173"/>
      <c r="I35" s="173"/>
      <c r="J35" s="173"/>
      <c r="K35" s="331"/>
    </row>
    <row r="36" spans="2:11" x14ac:dyDescent="0.4">
      <c r="B36" s="330"/>
      <c r="C36" s="173"/>
      <c r="D36" s="173"/>
      <c r="E36" s="173"/>
      <c r="F36" s="173"/>
      <c r="G36" s="173"/>
      <c r="H36" s="173"/>
      <c r="I36" s="173"/>
      <c r="J36" s="173"/>
      <c r="K36" s="331"/>
    </row>
    <row r="37" spans="2:11" x14ac:dyDescent="0.4">
      <c r="B37" s="330"/>
      <c r="C37" s="173"/>
      <c r="D37" s="173"/>
      <c r="E37" s="173"/>
      <c r="F37" s="173"/>
      <c r="G37" s="173"/>
      <c r="H37" s="173"/>
      <c r="I37" s="173"/>
      <c r="J37" s="173"/>
      <c r="K37" s="331"/>
    </row>
    <row r="38" spans="2:11" x14ac:dyDescent="0.4">
      <c r="B38" s="330"/>
      <c r="C38" s="173"/>
      <c r="D38" s="173"/>
      <c r="E38" s="173"/>
      <c r="F38" s="173"/>
      <c r="G38" s="173"/>
      <c r="H38" s="173"/>
      <c r="I38" s="173"/>
      <c r="J38" s="173"/>
      <c r="K38" s="331"/>
    </row>
    <row r="39" spans="2:11" x14ac:dyDescent="0.4">
      <c r="B39" s="330"/>
      <c r="C39" s="173"/>
      <c r="D39" s="173"/>
      <c r="E39" s="173"/>
      <c r="F39" s="173"/>
      <c r="G39" s="173"/>
      <c r="H39" s="173"/>
      <c r="I39" s="173"/>
      <c r="J39" s="173"/>
      <c r="K39" s="331"/>
    </row>
    <row r="40" spans="2:11" x14ac:dyDescent="0.4">
      <c r="B40" s="330"/>
      <c r="C40" s="173"/>
      <c r="D40" s="173"/>
      <c r="E40" s="173"/>
      <c r="F40" s="173"/>
      <c r="G40" s="173"/>
      <c r="H40" s="173"/>
      <c r="I40" s="173"/>
      <c r="J40" s="173"/>
      <c r="K40" s="331"/>
    </row>
    <row r="41" spans="2:11" x14ac:dyDescent="0.4">
      <c r="B41" s="330"/>
      <c r="C41" s="173"/>
      <c r="D41" s="173"/>
      <c r="E41" s="173"/>
      <c r="F41" s="173"/>
      <c r="G41" s="173"/>
      <c r="H41" s="173"/>
      <c r="I41" s="173"/>
      <c r="J41" s="173"/>
      <c r="K41" s="331"/>
    </row>
    <row r="42" spans="2:11" x14ac:dyDescent="0.4">
      <c r="B42" s="330"/>
      <c r="C42" s="173"/>
      <c r="D42" s="173"/>
      <c r="E42" s="173"/>
      <c r="F42" s="173"/>
      <c r="G42" s="173"/>
      <c r="H42" s="173"/>
      <c r="I42" s="173"/>
      <c r="J42" s="173"/>
      <c r="K42" s="331"/>
    </row>
    <row r="43" spans="2:11" x14ac:dyDescent="0.4">
      <c r="B43" s="330"/>
      <c r="C43" s="173"/>
      <c r="D43" s="173"/>
      <c r="E43" s="173"/>
      <c r="F43" s="173"/>
      <c r="G43" s="173"/>
      <c r="H43" s="173"/>
      <c r="I43" s="173"/>
      <c r="J43" s="173"/>
      <c r="K43" s="331"/>
    </row>
    <row r="44" spans="2:11" x14ac:dyDescent="0.4">
      <c r="B44" s="332"/>
      <c r="C44" s="333"/>
      <c r="D44" s="333"/>
      <c r="E44" s="333"/>
      <c r="F44" s="333"/>
      <c r="G44" s="333"/>
      <c r="H44" s="333"/>
      <c r="I44" s="333"/>
      <c r="J44" s="333"/>
      <c r="K44" s="334"/>
    </row>
    <row r="47" spans="2:11" ht="13.5" thickBot="1" x14ac:dyDescent="0.45"/>
    <row r="48" spans="2:11" ht="15.4" x14ac:dyDescent="0.4">
      <c r="B48" s="157" t="s">
        <v>161</v>
      </c>
      <c r="C48" s="324" t="s">
        <v>162</v>
      </c>
      <c r="D48" s="324" t="s">
        <v>163</v>
      </c>
      <c r="E48" s="324" t="s">
        <v>164</v>
      </c>
    </row>
    <row r="49" spans="2:5" ht="15.75" thickBot="1" x14ac:dyDescent="0.45">
      <c r="B49" s="158" t="s">
        <v>0</v>
      </c>
      <c r="C49" s="325"/>
      <c r="D49" s="325"/>
      <c r="E49" s="325"/>
    </row>
    <row r="50" spans="2:5" ht="46.5" thickBot="1" x14ac:dyDescent="0.45">
      <c r="B50" s="159" t="s">
        <v>165</v>
      </c>
      <c r="C50" s="160" t="s">
        <v>166</v>
      </c>
      <c r="D50" s="160" t="s">
        <v>167</v>
      </c>
      <c r="E50" s="160" t="s">
        <v>168</v>
      </c>
    </row>
    <row r="51" spans="2:5" ht="108" thickBot="1" x14ac:dyDescent="0.45">
      <c r="B51" s="161" t="s">
        <v>169</v>
      </c>
      <c r="C51" s="162" t="s">
        <v>170</v>
      </c>
      <c r="D51" s="162" t="s">
        <v>171</v>
      </c>
      <c r="E51" s="162" t="s">
        <v>168</v>
      </c>
    </row>
    <row r="52" spans="2:5" ht="169.5" thickBot="1" x14ac:dyDescent="0.45">
      <c r="B52" s="163" t="s">
        <v>172</v>
      </c>
      <c r="C52" s="164" t="s">
        <v>173</v>
      </c>
      <c r="D52" s="164" t="s">
        <v>174</v>
      </c>
      <c r="E52" s="164" t="s">
        <v>175</v>
      </c>
    </row>
    <row r="53" spans="2:5" ht="169.5" thickBot="1" x14ac:dyDescent="0.45">
      <c r="B53" s="165" t="s">
        <v>176</v>
      </c>
      <c r="C53" s="166" t="s">
        <v>177</v>
      </c>
      <c r="D53" s="166" t="s">
        <v>178</v>
      </c>
      <c r="E53" s="166" t="s">
        <v>179</v>
      </c>
    </row>
  </sheetData>
  <mergeCells count="6">
    <mergeCell ref="M2:P7"/>
    <mergeCell ref="C48:C49"/>
    <mergeCell ref="D48:D49"/>
    <mergeCell ref="E48:E49"/>
    <mergeCell ref="B18:K27"/>
    <mergeCell ref="B31:K44"/>
  </mergeCells>
  <pageMargins left="0.7" right="0.7" top="0.75" bottom="0.75" header="0.3" footer="0.3"/>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How to use the Tool</vt:lpstr>
      <vt:lpstr>Record Audit</vt:lpstr>
      <vt:lpstr>Record Report</vt:lpstr>
      <vt:lpstr>Criteria Guidance</vt:lpstr>
      <vt:lpstr>Final Assessment</vt:lpstr>
      <vt:lpstr>COI</vt:lpstr>
      <vt:lpstr>Consultations</vt:lpstr>
      <vt:lpstr>'Record Audit'!Print_Area</vt:lpstr>
      <vt:lpstr>Rating</vt:lpstr>
      <vt:lpstr>Safety</vt:lpstr>
      <vt:lpstr>Setting</vt:lpstr>
      <vt:lpstr>Type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QiO Compliance Audit</dc:title>
  <dc:subject>Level 1</dc:subject>
  <dc:creator>andrew.foulkes@avisford.co.uk</dc:creator>
  <cp:keywords/>
  <dc:description/>
  <cp:lastModifiedBy>DOUGALL, Ben (CITY SQUARE MEDICAL GROUP)</cp:lastModifiedBy>
  <cp:revision/>
  <dcterms:created xsi:type="dcterms:W3CDTF">2005-07-19T12:25:53Z</dcterms:created>
  <dcterms:modified xsi:type="dcterms:W3CDTF">2025-11-17T11:34:07Z</dcterms:modified>
  <cp:category/>
  <cp:contentStatus/>
</cp:coreProperties>
</file>